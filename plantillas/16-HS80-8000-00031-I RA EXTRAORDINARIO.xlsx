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Packages\PRD - 010\0A9A3ADEE6F31FD09EAA68E556E6D70E\in\"/>
    </mc:Choice>
  </mc:AlternateContent>
  <xr:revisionPtr revIDLastSave="0" documentId="8_{FC35A6FA-3599-483A-9D5E-932B23DF1F13}" xr6:coauthVersionLast="47" xr6:coauthVersionMax="47" xr10:uidLastSave="{00000000-0000-0000-0000-000000000000}"/>
  <bookViews>
    <workbookView minimized="1" xWindow="0" yWindow="0" windowWidth="10770" windowHeight="8430" firstSheet="1" activeTab="2" xr2:uid="{00000000-000D-0000-FFFF-FFFF00000000}"/>
  </bookViews>
  <sheets>
    <sheet name="Permiso de RA Extraordinario" sheetId="4" r:id="rId1"/>
    <sheet name="RA Extraordinario Ejemplo" sheetId="8" r:id="rId2"/>
    <sheet name="Matriz De Puntuación De Riesgo" sheetId="9" r:id="rId3"/>
  </sheets>
  <definedNames>
    <definedName name="_xlnm.Print_Area" localSheetId="2">'Matriz De Puntuación De Riesgo'!$A$1:$F$17</definedName>
    <definedName name="_xlnm.Print_Area" localSheetId="0">'Permiso de RA Extraordinario'!$A$1:$AM$80</definedName>
    <definedName name="_xlnm.Print_Area" localSheetId="1">'RA Extraordinario Ejemplo'!$A$1:$AM$98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8" i="8" l="1"/>
  <c r="AL48" i="8" s="1"/>
  <c r="AM48" i="8" s="1"/>
  <c r="J48" i="8"/>
  <c r="AA47" i="8"/>
  <c r="J47" i="8"/>
  <c r="AA54" i="8"/>
  <c r="J54" i="8"/>
  <c r="AA53" i="8"/>
  <c r="J53" i="8"/>
  <c r="J59" i="8"/>
  <c r="AA59" i="8"/>
  <c r="AL59" i="8" s="1"/>
  <c r="J62" i="8"/>
  <c r="AA62" i="8"/>
  <c r="AL62" i="8" s="1"/>
  <c r="AM59" i="8" l="1"/>
  <c r="AM62" i="8"/>
  <c r="AA30" i="4"/>
  <c r="AM30" i="4" s="1"/>
  <c r="AA31" i="4"/>
  <c r="AM31" i="4" s="1"/>
  <c r="AA32" i="4"/>
  <c r="AM32" i="4" s="1"/>
  <c r="AA33" i="4"/>
  <c r="AM33" i="4" s="1"/>
  <c r="AA34" i="4"/>
  <c r="AM34" i="4" s="1"/>
  <c r="AA35" i="4"/>
  <c r="AM35" i="4" s="1"/>
  <c r="AA36" i="4"/>
  <c r="AM36" i="4" s="1"/>
  <c r="AA37" i="4"/>
  <c r="AM37" i="4" s="1"/>
  <c r="AA38" i="4"/>
  <c r="AM38" i="4" s="1"/>
  <c r="AA39" i="4"/>
  <c r="AM39" i="4" s="1"/>
  <c r="AA40" i="4"/>
  <c r="AM40" i="4" s="1"/>
  <c r="AA41" i="4"/>
  <c r="AM41" i="4" s="1"/>
  <c r="AA42" i="4"/>
  <c r="AM42" i="4" s="1"/>
  <c r="AA43" i="4"/>
  <c r="AM43" i="4" s="1"/>
  <c r="AA44" i="4"/>
  <c r="AM44" i="4" s="1"/>
  <c r="AA45" i="4"/>
  <c r="AM45" i="4" s="1"/>
  <c r="AA46" i="4"/>
  <c r="AM46" i="4" s="1"/>
  <c r="AA47" i="4"/>
  <c r="AM47" i="4" s="1"/>
  <c r="AA48" i="4"/>
  <c r="AM48" i="4" s="1"/>
  <c r="AA49" i="4"/>
  <c r="AM49" i="4" s="1"/>
  <c r="AA29" i="4"/>
  <c r="J67" i="8"/>
  <c r="J57" i="8"/>
  <c r="J51" i="8"/>
  <c r="J45" i="8"/>
  <c r="J65" i="8"/>
  <c r="J64" i="8"/>
  <c r="J63" i="8"/>
  <c r="J61" i="8"/>
  <c r="J60" i="8"/>
  <c r="J58" i="8"/>
  <c r="J56" i="8"/>
  <c r="J50" i="8"/>
  <c r="J52" i="8"/>
  <c r="J55" i="8"/>
  <c r="J69" i="8"/>
  <c r="J68" i="8"/>
  <c r="J66" i="8"/>
  <c r="J46" i="8"/>
  <c r="J44" i="8"/>
  <c r="J43" i="8"/>
  <c r="J42" i="8"/>
  <c r="J41" i="8"/>
  <c r="J40" i="8"/>
  <c r="J39" i="8"/>
  <c r="J38" i="8"/>
  <c r="J37" i="8"/>
  <c r="J36" i="8"/>
  <c r="J35" i="8"/>
  <c r="J34" i="8"/>
  <c r="J33" i="8"/>
  <c r="AA69" i="8"/>
  <c r="AA68" i="8"/>
  <c r="AA67" i="8"/>
  <c r="AA65" i="8"/>
  <c r="AA64" i="8"/>
  <c r="AA63" i="8"/>
  <c r="AA61" i="8"/>
  <c r="AA60" i="8"/>
  <c r="AA58" i="8"/>
  <c r="AA57" i="8"/>
  <c r="AA55" i="8"/>
  <c r="AA52" i="8"/>
  <c r="AA51" i="8"/>
  <c r="AA32" i="8"/>
  <c r="J32" i="8"/>
  <c r="AA49" i="8"/>
  <c r="J49" i="8"/>
  <c r="AA46" i="8"/>
  <c r="AA45" i="8"/>
  <c r="AA43" i="8"/>
  <c r="AA42" i="8"/>
  <c r="AA41" i="8"/>
  <c r="AA39" i="8"/>
  <c r="AA38" i="8"/>
  <c r="AA36" i="8"/>
  <c r="AA35" i="8"/>
  <c r="AA34" i="8"/>
  <c r="AA31" i="8"/>
  <c r="J31" i="8"/>
  <c r="AA29" i="8"/>
  <c r="J29" i="8"/>
  <c r="AA30" i="8"/>
  <c r="J30" i="8"/>
  <c r="AA66" i="8"/>
  <c r="AA56" i="8"/>
  <c r="AA50" i="8"/>
  <c r="AA44" i="8"/>
  <c r="AA40" i="8"/>
  <c r="AA37" i="8"/>
  <c r="AA33" i="8"/>
  <c r="AL45" i="4" l="1"/>
  <c r="AL47" i="4"/>
  <c r="AL39" i="4"/>
  <c r="AL38" i="4"/>
  <c r="AL37" i="4"/>
  <c r="AL36" i="4"/>
  <c r="AL35" i="4"/>
  <c r="AL49" i="4"/>
  <c r="AL48" i="4"/>
  <c r="AL46" i="4"/>
  <c r="AL34" i="4"/>
  <c r="AL33" i="4"/>
  <c r="AL44" i="4"/>
  <c r="AL32" i="4"/>
  <c r="AL43" i="4"/>
  <c r="AL31" i="4"/>
  <c r="AL42" i="4"/>
  <c r="AL30" i="4"/>
  <c r="AL41" i="4"/>
  <c r="AL40" i="4"/>
  <c r="AL29" i="4"/>
  <c r="AM29" i="4"/>
  <c r="AL67" i="8"/>
  <c r="AM67" i="8" s="1"/>
  <c r="AL68" i="8"/>
  <c r="AM68" i="8" s="1"/>
  <c r="AL69" i="8"/>
  <c r="AM69" i="8" s="1"/>
  <c r="AL63" i="8"/>
  <c r="AM63" i="8" s="1"/>
  <c r="AL64" i="8"/>
  <c r="AM64" i="8" s="1"/>
  <c r="AL65" i="8"/>
  <c r="AM65" i="8" s="1"/>
  <c r="AL57" i="8"/>
  <c r="AM57" i="8" s="1"/>
  <c r="AL58" i="8"/>
  <c r="AM58" i="8" s="1"/>
  <c r="AL60" i="8"/>
  <c r="AM60" i="8" s="1"/>
  <c r="AL61" i="8"/>
  <c r="AM61" i="8" s="1"/>
  <c r="AL51" i="8"/>
  <c r="AM51" i="8" s="1"/>
  <c r="AL52" i="8"/>
  <c r="AM52" i="8" s="1"/>
  <c r="AL53" i="8"/>
  <c r="AM53" i="8" s="1"/>
  <c r="AL54" i="8"/>
  <c r="AM54" i="8" s="1"/>
  <c r="AL55" i="8"/>
  <c r="AM55" i="8" s="1"/>
  <c r="AL32" i="8"/>
  <c r="AM32" i="8" s="1"/>
  <c r="AL49" i="8"/>
  <c r="AM49" i="8" s="1"/>
  <c r="AL45" i="8"/>
  <c r="AM45" i="8" s="1"/>
  <c r="AL46" i="8"/>
  <c r="AM46" i="8" s="1"/>
  <c r="AL47" i="8"/>
  <c r="AM47" i="8" s="1"/>
  <c r="AL43" i="8"/>
  <c r="AM43" i="8" s="1"/>
  <c r="AL41" i="8"/>
  <c r="AM41" i="8" s="1"/>
  <c r="AL42" i="8"/>
  <c r="AM42" i="8" s="1"/>
  <c r="AL38" i="8"/>
  <c r="AM38" i="8" s="1"/>
  <c r="AL39" i="8"/>
  <c r="AM39" i="8" s="1"/>
  <c r="AL34" i="8"/>
  <c r="AM34" i="8" s="1"/>
  <c r="AL35" i="8"/>
  <c r="AM35" i="8" s="1"/>
  <c r="AL36" i="8"/>
  <c r="AM36" i="8" s="1"/>
  <c r="AL31" i="8"/>
  <c r="AM31" i="8" s="1"/>
  <c r="AL29" i="8"/>
  <c r="AM29" i="8" s="1"/>
  <c r="AL30" i="8"/>
  <c r="AM30" i="8" s="1"/>
  <c r="AL33" i="8"/>
  <c r="AM33" i="8" s="1"/>
  <c r="AL37" i="8"/>
  <c r="AM37" i="8" s="1"/>
  <c r="AL40" i="8"/>
  <c r="AM40" i="8" s="1"/>
  <c r="AL44" i="8"/>
  <c r="AM44" i="8" s="1"/>
  <c r="AL50" i="8"/>
  <c r="AM50" i="8" s="1"/>
  <c r="AL56" i="8"/>
  <c r="AM56" i="8" s="1"/>
  <c r="AL66" i="8"/>
  <c r="AM66" i="8" s="1"/>
</calcChain>
</file>

<file path=xl/sharedStrings.xml><?xml version="1.0" encoding="utf-8"?>
<sst xmlns="http://schemas.openxmlformats.org/spreadsheetml/2006/main" count="417" uniqueCount="227">
  <si>
    <t>PERMISO DE ANALISIS DE RIESGO EXTRAORDINARIO (VIGENCIA DIARIA) 1 de 2</t>
  </si>
  <si>
    <t>Cuestionario MOC</t>
  </si>
  <si>
    <t>Verdadero</t>
  </si>
  <si>
    <t>Falso</t>
  </si>
  <si>
    <t>Descripción de la tarea:</t>
  </si>
  <si>
    <t>Contacto Jabil:</t>
  </si>
  <si>
    <t>MOC #</t>
  </si>
  <si>
    <t xml:space="preserve">       </t>
  </si>
  <si>
    <t xml:space="preserve">Controles </t>
  </si>
  <si>
    <t>RS</t>
  </si>
  <si>
    <t>Porcentaje De Reducción De Riesgos</t>
  </si>
  <si>
    <t xml:space="preserve">1.- </t>
  </si>
  <si>
    <t xml:space="preserve">2.- </t>
  </si>
  <si>
    <t xml:space="preserve">3.- </t>
  </si>
  <si>
    <t xml:space="preserve">4.- </t>
  </si>
  <si>
    <t xml:space="preserve">5.- </t>
  </si>
  <si>
    <t xml:space="preserve">6.- </t>
  </si>
  <si>
    <t xml:space="preserve">7.- </t>
  </si>
  <si>
    <t xml:space="preserve">8.- </t>
  </si>
  <si>
    <t xml:space="preserve">9.- </t>
  </si>
  <si>
    <t xml:space="preserve">10.- </t>
  </si>
  <si>
    <t xml:space="preserve">11.- </t>
  </si>
  <si>
    <t xml:space="preserve">12.- </t>
  </si>
  <si>
    <t xml:space="preserve">13.- </t>
  </si>
  <si>
    <t xml:space="preserve">14.- </t>
  </si>
  <si>
    <t xml:space="preserve">15.- </t>
  </si>
  <si>
    <t xml:space="preserve">16.- </t>
  </si>
  <si>
    <t xml:space="preserve">17.- </t>
  </si>
  <si>
    <t xml:space="preserve">18.- </t>
  </si>
  <si>
    <t xml:space="preserve">19.- </t>
  </si>
  <si>
    <t xml:space="preserve">20.- </t>
  </si>
  <si>
    <t xml:space="preserve">21.- </t>
  </si>
  <si>
    <t>EPP Requerido</t>
  </si>
  <si>
    <t>Guantes anti -corte</t>
  </si>
  <si>
    <t xml:space="preserve">Zapato de seguridad </t>
  </si>
  <si>
    <t xml:space="preserve">Casco </t>
  </si>
  <si>
    <t xml:space="preserve">Arc Flash </t>
  </si>
  <si>
    <t xml:space="preserve">Gorra de seguridad </t>
  </si>
  <si>
    <t>Guantes de carnaza 3/4</t>
  </si>
  <si>
    <t xml:space="preserve">Zapato dialéctrico </t>
  </si>
  <si>
    <t xml:space="preserve">Respirador </t>
  </si>
  <si>
    <t xml:space="preserve">Tapete dialéctrico </t>
  </si>
  <si>
    <t xml:space="preserve">Lentes con proteccion UV </t>
  </si>
  <si>
    <t>Guantes eléctricos</t>
  </si>
  <si>
    <t>Careta</t>
  </si>
  <si>
    <t xml:space="preserve">Protección auditiva </t>
  </si>
  <si>
    <t xml:space="preserve">Prohibición de equipo ESD </t>
  </si>
  <si>
    <t xml:space="preserve">Cubre lentes </t>
  </si>
  <si>
    <t xml:space="preserve">Guantes de nitrilo </t>
  </si>
  <si>
    <t xml:space="preserve">Peto/Carnaza </t>
  </si>
  <si>
    <t xml:space="preserve">Protección respiratoria </t>
  </si>
  <si>
    <t xml:space="preserve">Zapato de seguridad con suela antiderrapante </t>
  </si>
  <si>
    <t>Equipo autonómo</t>
  </si>
  <si>
    <t>Guantes para altas temperaturas</t>
  </si>
  <si>
    <t xml:space="preserve">Lentes de seguridad </t>
  </si>
  <si>
    <t xml:space="preserve">Polaínas </t>
  </si>
  <si>
    <t>Cubrebocas</t>
  </si>
  <si>
    <t xml:space="preserve">Guantes doble cero </t>
  </si>
  <si>
    <t xml:space="preserve">Guante descubierto tres dedos </t>
  </si>
  <si>
    <t xml:space="preserve">Mangas de carnaza </t>
  </si>
  <si>
    <t xml:space="preserve">Guante de neopreno </t>
  </si>
  <si>
    <t xml:space="preserve">Guantes piel de cabra </t>
  </si>
  <si>
    <t xml:space="preserve">Arnés </t>
  </si>
  <si>
    <t xml:space="preserve">Ropa con antireflejante preventivo </t>
  </si>
  <si>
    <t>El responsable de actividad y EHS aprueban actividades de bajo y medio riesgo.
Si hay riesgos altos, debe estar involucrado el Gerente impactado del área y los ingenieros EHS.</t>
  </si>
  <si>
    <t xml:space="preserve">Plan de emergencia </t>
  </si>
  <si>
    <t>Nombre y firma de participantes del trabajo
Al firmar me comprometo a cumplir con todo lo requerido en este permiso</t>
  </si>
  <si>
    <t>Hora Inicial (Llena EHS):</t>
  </si>
  <si>
    <t>Primera revision (llena contacto Jabil)</t>
  </si>
  <si>
    <t>Área acordonada efectivamente.</t>
  </si>
  <si>
    <t>Equipo de protección personal (EPP) en uso y en buen estado.</t>
  </si>
  <si>
    <t>Guardas y conexiones en óptimas condiciones.</t>
  </si>
  <si>
    <t>Ventilación, polvos y ruido controlados.</t>
  </si>
  <si>
    <t>5.-</t>
  </si>
  <si>
    <t>Químicos identificados.</t>
  </si>
  <si>
    <t>Material y/o herramental ordenado y en óptimas condiciones.</t>
  </si>
  <si>
    <t>Asegurar libranza.</t>
  </si>
  <si>
    <t>3 - En caso de evacuar, siga las indicaciones de los coordinadores de emergencia.</t>
  </si>
  <si>
    <t>Únicamente personal autorizado en el área.</t>
  </si>
  <si>
    <t>Firma de verificación de condiciones seguras:</t>
  </si>
  <si>
    <t>Valeo L-220, entre las columnas G23 y G24</t>
  </si>
  <si>
    <t>MT-NET</t>
  </si>
  <si>
    <t>Instalación de nodos de red</t>
  </si>
  <si>
    <t>Yasmin Delgado</t>
  </si>
  <si>
    <t>Tanhia Córdoba</t>
  </si>
  <si>
    <t>1.- Preparación de herramental y/o material.</t>
  </si>
  <si>
    <t>Golpeado por o contra.</t>
  </si>
  <si>
    <t>Resbalón.</t>
  </si>
  <si>
    <t>Tropiezo.</t>
  </si>
  <si>
    <t>Activación involuntaria de equipos.</t>
  </si>
  <si>
    <t>Laceración.</t>
  </si>
  <si>
    <t>2.- Traslado de material y herramental.</t>
  </si>
  <si>
    <t>3.- Acordonamiento/delimitación del área.</t>
  </si>
  <si>
    <t>4.- Uso de escalera/plataforma.</t>
  </si>
  <si>
    <t>Caída desde las alturas.</t>
  </si>
  <si>
    <t>5.-  Instalación de cable.</t>
  </si>
  <si>
    <t>Choque eléctrico.</t>
  </si>
  <si>
    <t>Arco eléctrico.</t>
  </si>
  <si>
    <t>6.- Instalación del servicio TEE 1/4" con conectores rápidos hembra, 1/4 parte inferior.</t>
  </si>
  <si>
    <t>8.- Llenar formato de "Liberación final en instalaciones de servicios".</t>
  </si>
  <si>
    <t>9.- Limpieza 5's del área de trabajo.</t>
  </si>
  <si>
    <t>614 203 8172</t>
  </si>
  <si>
    <t>614 142 2808</t>
  </si>
  <si>
    <t>614 124 8393</t>
  </si>
  <si>
    <t>Matriz de riesgos y controles</t>
  </si>
  <si>
    <t>Parámetro de Valor de Puntuación</t>
  </si>
  <si>
    <t>Exposición (E)</t>
  </si>
  <si>
    <t>Tarea realizada o impacto ocurre ≤ 1 vez/año</t>
  </si>
  <si>
    <t>Tarea realizada o impacto ocurre ≥ 1 mes a 2 veces/año</t>
  </si>
  <si>
    <t>Tarea realizada o impacto ocurre ≥ 2-3 veces semana a 2-3 veces/mes</t>
  </si>
  <si>
    <t>Tarea realizada o impacto ocurre 2-3 veces/día ≤ 1 vez/semana</t>
  </si>
  <si>
    <t>Tarea realizada o impacto ocurre de forma continua</t>
  </si>
  <si>
    <t>Severidad (S)</t>
  </si>
  <si>
    <t>Near Miss</t>
  </si>
  <si>
    <t>Menor</t>
  </si>
  <si>
    <t>Riesgo Significativo</t>
  </si>
  <si>
    <t>Mayor</t>
  </si>
  <si>
    <t>Catastrófico</t>
  </si>
  <si>
    <t>Probabilidad (P)</t>
  </si>
  <si>
    <t>Posibilidad remota: puede ocurrir solo en circunstancias excepcionales; Impacto adverso / accidente laboral (0- 10%)</t>
  </si>
  <si>
    <t>Poco probable: podría ocurrir en algún momento; impacto adverso / accidente laboral (&gt; 10-25%)</t>
  </si>
  <si>
    <t>Posible: probabilidad moderada de que ocurra o preocupaciones de los empleados; impacto adverso / accidente laboral (&gt; 25-50%)</t>
  </si>
  <si>
    <t>Probable: es probable que se produzca un impacto de EHS o que se haya producido un incidente; adverso / accidente laboral (&gt; 50% - 75%)</t>
  </si>
  <si>
    <t>Casi se ha producido cierto impacto EHS o un evento de primeros auxilios; Impacto adverso / accidente laboral ocurrirá (&gt;75%)</t>
  </si>
  <si>
    <t>Controles (C)</t>
  </si>
  <si>
    <t>Sustitución</t>
  </si>
  <si>
    <t>Controles que eliminan la exposición</t>
  </si>
  <si>
    <t>Controles con exposición</t>
  </si>
  <si>
    <t>Controles Administrativos,</t>
  </si>
  <si>
    <t>Sin Controles</t>
  </si>
  <si>
    <t>Ejm. Entrenamiento, EPP</t>
  </si>
  <si>
    <t xml:space="preserve">No se permite </t>
  </si>
  <si>
    <t xml:space="preserve">Riesgo muy importante </t>
  </si>
  <si>
    <t xml:space="preserve">Riesgo importante </t>
  </si>
  <si>
    <t xml:space="preserve">Actividad segura </t>
  </si>
  <si>
    <t>Trabajo de corte y soldadura, herramienta, que genera chispa, flama abierta, soldadura, desensambles de piezas por medio de calor.</t>
  </si>
  <si>
    <t>Trabajo eléctrico energizado o con contactos eléctricos 
expuestos con voltaje mayor a 50V.</t>
  </si>
  <si>
    <t>Trabajo en alturas arriba de 1.8m, trabajos en azoteas.</t>
  </si>
  <si>
    <t>Trabajo en espacios confinados o con carácterísticas similares.</t>
  </si>
  <si>
    <t>Tipo(s) De Tarea(s) A Realizar</t>
  </si>
  <si>
    <t>Caída de objetos</t>
  </si>
  <si>
    <t>Caída de objetos.</t>
  </si>
  <si>
    <t>7.- Ruteo de cableado por tubería y canaleta.</t>
  </si>
  <si>
    <t>Vigia siempre presente.</t>
  </si>
  <si>
    <t>No sobrepasar el 1.80m en escalera.</t>
  </si>
  <si>
    <t>Nombre y firma de autorización de representante EHS</t>
  </si>
  <si>
    <t>Revisión de puntos según el plan de trabajo.</t>
  </si>
  <si>
    <t>Auditoria de seguridad por contacto Jabil.</t>
  </si>
  <si>
    <t>2 - En caso de incendio, alarma o desastres, siga su ruta de evacuación del área.</t>
  </si>
  <si>
    <t>1 - En caso de emergencia médica, siempre contacte a servicio médico (1111).</t>
  </si>
  <si>
    <t>4 - Notifique al responsible de la actividad, contacto Jabil y EHS para posterior ayuda.</t>
  </si>
  <si>
    <t>PERMISO DE ANÁLISIS DE RIESGO EXTRAORDINARIO (VIGENCIA DIARIA) 2 de 2</t>
  </si>
  <si>
    <t>PERMISO DE ANÁLISIS DE RIESGO EXTRAORDINARIO (VIGENCIA DIARIA) 1 de 2</t>
  </si>
  <si>
    <t>Nombre y firma del responsable de la actividad (Supervisor Contratista).
Me aseguro de cumplir y mantener con todo lo establecido en este permiso.</t>
  </si>
  <si>
    <t>Equipo de transporte de material y herramienta</t>
  </si>
  <si>
    <t>5's en área, zapatos de seguridad con suela antiderrapante, vigia</t>
  </si>
  <si>
    <t>5´s en área, DC-3 NOM-029, vigia</t>
  </si>
  <si>
    <t>Guantes anticorte, DC-3 NOM-029</t>
  </si>
  <si>
    <t>Arnés y cuerda de vida, DC-3 NOM-009, checklist de plataforma</t>
  </si>
  <si>
    <t>DC-3 NOM-009, checklist de plataforma</t>
  </si>
  <si>
    <t>Tapete dieléctrico, herramientas dieléctricas, DC-3 NOM-029</t>
  </si>
  <si>
    <t>Arc flash, tapete dieléctrico, herramientas dieléctricas, DC-3 NOM-029</t>
  </si>
  <si>
    <t>Autorización por Gerente (SI APLICA)</t>
  </si>
  <si>
    <t>5's en área, delimitación de área, libranza de área, vigia, retirar material tirado, limpiar derrames</t>
  </si>
  <si>
    <r>
      <t xml:space="preserve">Plan de trabajo
</t>
    </r>
    <r>
      <rPr>
        <sz val="20"/>
        <color theme="1"/>
        <rFont val="Calibri"/>
        <family val="2"/>
        <scheme val="minor"/>
      </rPr>
      <t>Describa en orden cronológico los pasos que conlleva el trabajo, incluyendo el traslado e instalación de equipo, interrupción de vias de tránsito, etc.</t>
    </r>
  </si>
  <si>
    <r>
      <t xml:space="preserve">Exposición
</t>
    </r>
    <r>
      <rPr>
        <sz val="20"/>
        <color theme="1"/>
        <rFont val="Calibri"/>
        <family val="2"/>
      </rPr>
      <t xml:space="preserve">1 a 5 </t>
    </r>
  </si>
  <si>
    <r>
      <t xml:space="preserve">Severidad
</t>
    </r>
    <r>
      <rPr>
        <sz val="20"/>
        <color theme="1"/>
        <rFont val="Calibri "/>
      </rPr>
      <t>1-Primer auxilio
3-Incapacitante
7-Hospitalización o fatalidad</t>
    </r>
  </si>
  <si>
    <r>
      <t xml:space="preserve">Probabilidad
</t>
    </r>
    <r>
      <rPr>
        <sz val="20"/>
        <color theme="1"/>
        <rFont val="Calibri "/>
      </rPr>
      <t>1- Poco probable
2- Puede ocurrir
3- Muy probable o ya ocurrió</t>
    </r>
  </si>
  <si>
    <r>
      <t xml:space="preserve">RIESGO
= E*S*P
</t>
    </r>
    <r>
      <rPr>
        <sz val="20"/>
        <color theme="1"/>
        <rFont val="Calibri "/>
      </rPr>
      <t>7 o mayor es alto riesgo</t>
    </r>
  </si>
  <si>
    <r>
      <t xml:space="preserve">Severidad
</t>
    </r>
    <r>
      <rPr>
        <sz val="20"/>
        <color theme="1"/>
        <rFont val="Calibri"/>
        <family val="2"/>
      </rPr>
      <t>1 a 5</t>
    </r>
  </si>
  <si>
    <r>
      <t xml:space="preserve">Probabilidad
</t>
    </r>
    <r>
      <rPr>
        <sz val="20"/>
        <color theme="1"/>
        <rFont val="Calibri"/>
        <family val="2"/>
      </rPr>
      <t>1 a 5</t>
    </r>
  </si>
  <si>
    <r>
      <t xml:space="preserve">Riesgo
</t>
    </r>
    <r>
      <rPr>
        <sz val="20"/>
        <color theme="1"/>
        <rFont val="Calibri"/>
        <family val="2"/>
      </rPr>
      <t>= E*S*P</t>
    </r>
  </si>
  <si>
    <r>
      <t xml:space="preserve">Controles
</t>
    </r>
    <r>
      <rPr>
        <sz val="20"/>
        <color theme="1"/>
        <rFont val="Calibri"/>
        <family val="2"/>
      </rPr>
      <t>Considere los siguientes: Bloqueo de energía LOTO, Permiso de trabajo, trabajo en equipo, cierre de área, uso de vallas/barricadas/cinta de precaución,  redireccionar vías de transito, desactivar sistema de alarmas y supresión de fuego, vigia en todas las areas de riesgo, etc.</t>
    </r>
  </si>
  <si>
    <t>Compañía que trabaja:</t>
  </si>
  <si>
    <t>Área(s) de trabajo:</t>
  </si>
  <si>
    <t>Fecha de aprobación:</t>
  </si>
  <si>
    <t>Contemple los riesgos:</t>
  </si>
  <si>
    <t>Normales</t>
  </si>
  <si>
    <t>Anormales</t>
  </si>
  <si>
    <t>No Rutinario</t>
  </si>
  <si>
    <t>Arranque</t>
  </si>
  <si>
    <t>Desmantelamiento</t>
  </si>
  <si>
    <t>Emergencia</t>
  </si>
  <si>
    <t>No modifica los planos existentes</t>
  </si>
  <si>
    <t>No modifica líneas de servicios existentes</t>
  </si>
  <si>
    <t>No modifica escaleras, plataformas o estructuras existentes</t>
  </si>
  <si>
    <t>No modifica disposivos de seguridad o guardas de maquinaria</t>
  </si>
  <si>
    <t>Anote el número de MOC autorizado por EHS y tenga una copia en el área</t>
  </si>
  <si>
    <t>Responsable</t>
  </si>
  <si>
    <t xml:space="preserve">Contacto Jabil es responsable del cumplimiento de los requerimientos de seguridad, estar disponible personalmente o asignar a un delegado para atender las necesidades que del trabajo, incluyendo la investigacion de incidentes </t>
  </si>
  <si>
    <t>Excavaciones, perforaciones con riesgo de daño a tubería subterránea.</t>
  </si>
  <si>
    <t>Interrupción del sistema contra incendio, hidráulico o monitoreo.</t>
  </si>
  <si>
    <t>Manejo y/o descarga de materiales peligrosos.</t>
  </si>
  <si>
    <t>Uso de grúas, montacargas y equipo para levantamiento de maquinaria.</t>
  </si>
  <si>
    <t>Bloqueo de energía, interrupción o cambio de líneas de fluidos peligrosos.</t>
  </si>
  <si>
    <t>Movimiento de maquinaria y equipo.</t>
  </si>
  <si>
    <t>Manejo manual de materiales y carga sin ayudas mecánicas, posturas incómodas.</t>
  </si>
  <si>
    <t>Uso de herramientas portátiles manuales y de poder: manejo de refacción o partes.</t>
  </si>
  <si>
    <t>Interrupción, ocupación o desvío de circulación de pasillos y vías de tránsito.</t>
  </si>
  <si>
    <t>Apertura de una puerta de emergencia.</t>
  </si>
  <si>
    <r>
      <t xml:space="preserve">Firma de autorización de contacto Jabil.
</t>
    </r>
    <r>
      <rPr>
        <sz val="20"/>
        <color rgb="FF000000"/>
        <rFont val="Calibri"/>
        <family val="2"/>
        <scheme val="minor"/>
      </rPr>
      <t>Me hago responsable de garantizar durante todo el tiempo que tome las actividades aquí descritas el cumplimiento de los controles establecidos en este permiso.</t>
    </r>
  </si>
  <si>
    <t>Es necesario suspender el trabajo hasta una corrección por la siguiente razón: 
(    ) No consideracion de actividades en plan de trabajo
(    ) No seguimiento de los controles definidos
(    ) Riesgos de lesión inminentes
(    ) Otro(s): ________________________________________________
Nombre, firma y fecha: ____________________________________________</t>
  </si>
  <si>
    <t>Teléfono de responsable de actividad</t>
  </si>
  <si>
    <t>Teléfono de EHS (que aprueba)</t>
  </si>
  <si>
    <t>Teléfono de contacto Jabil</t>
  </si>
  <si>
    <t>Número de emergencia Jabil</t>
  </si>
  <si>
    <r>
      <t xml:space="preserve">Riesgos
</t>
    </r>
    <r>
      <rPr>
        <sz val="20"/>
        <color theme="1"/>
        <rFont val="Calibri"/>
        <family val="2"/>
        <scheme val="minor"/>
      </rPr>
      <t xml:space="preserve">Considere los siguientes: Choque eléctrico, golpeado por o contra, caida desde alturas, tropiezo y caida del mismo nivel, bordes afilados o puntiagudos, combustion/fuego, ruido, salpicaduras, humos o vapores tóxicos, activación involuntaria de un equipo, afectaciones a producto o equipo y maquinaria (en condiciones de evaluacion anormal considerar firma del representante del area involucrada), etc.
</t>
    </r>
    <r>
      <rPr>
        <b/>
        <sz val="20"/>
        <color theme="1"/>
        <rFont val="Calibri"/>
        <family val="2"/>
        <scheme val="minor"/>
      </rPr>
      <t>Coloque uno por renglón para una evaluación objetiva.</t>
    </r>
  </si>
  <si>
    <r>
      <rPr>
        <b/>
        <sz val="6"/>
        <color rgb="FF003865"/>
        <rFont val="Grandview"/>
        <family val="2"/>
      </rPr>
      <t xml:space="preserve">Exposición (E): </t>
    </r>
    <r>
      <rPr>
        <sz val="6"/>
        <color rgb="FF003865"/>
        <rFont val="Grandview"/>
        <family val="2"/>
      </rPr>
      <t>Frecuencia con la que la persona realiza la tarea.</t>
    </r>
  </si>
  <si>
    <r>
      <rPr>
        <b/>
        <sz val="6"/>
        <color rgb="FF003865"/>
        <rFont val="Grandview"/>
        <family val="2"/>
      </rPr>
      <t xml:space="preserve">Severidad (S): </t>
    </r>
    <r>
      <rPr>
        <sz val="6"/>
        <color rgb="FF003865"/>
        <rFont val="Grandview"/>
        <family val="2"/>
      </rPr>
      <t>Grado de posible daño a la persona, empresa y medio ambiente.</t>
    </r>
  </si>
  <si>
    <r>
      <rPr>
        <b/>
        <sz val="6"/>
        <color rgb="FF003865"/>
        <rFont val="Grandview"/>
        <family val="2"/>
      </rPr>
      <t xml:space="preserve">Probabilidad (P): </t>
    </r>
    <r>
      <rPr>
        <sz val="6"/>
        <color rgb="FF003865"/>
        <rFont val="Grandview"/>
        <family val="2"/>
      </rPr>
      <t>Probabilidad de que ocurra un impacto adverso o accidente de trabajo.</t>
    </r>
  </si>
  <si>
    <r>
      <rPr>
        <b/>
        <sz val="6"/>
        <color rgb="FF003865"/>
        <rFont val="Grandview"/>
        <family val="2"/>
      </rPr>
      <t>Control:</t>
    </r>
    <r>
      <rPr>
        <sz val="6"/>
        <color rgb="FF003865"/>
        <rFont val="Grandview"/>
        <family val="2"/>
      </rPr>
      <t xml:space="preserve"> Se utilizan para eliminar o minimizar la exposición al peligro. Nos ayudan a determinar si se puede realizar la actividad o no.</t>
    </r>
  </si>
  <si>
    <t>Actividad no autorizada</t>
  </si>
  <si>
    <t>Supervisión continua en sitio</t>
  </si>
  <si>
    <t>Seguimiento a controles establecidos</t>
  </si>
  <si>
    <t>Se requieren acciones para mitigar el riesgo previo a la tarea</t>
  </si>
  <si>
    <r>
      <t xml:space="preserve">Plan de trabajo
</t>
    </r>
    <r>
      <rPr>
        <sz val="20"/>
        <color rgb="FF000000"/>
        <rFont val="Calibri"/>
        <family val="2"/>
        <scheme val="minor"/>
      </rPr>
      <t>Describa en orden cronológico los pasos que conlleva el trabajo, incluyendo el traslado e instalación de equipo, interrupción de vias de tránsito, etc.</t>
    </r>
  </si>
  <si>
    <r>
      <rPr>
        <b/>
        <sz val="20"/>
        <color rgb="FF000000"/>
        <rFont val="Calibri"/>
        <family val="2"/>
        <scheme val="minor"/>
      </rPr>
      <t xml:space="preserve">Riesgos
</t>
    </r>
    <r>
      <rPr>
        <sz val="20"/>
        <color rgb="FF000000"/>
        <rFont val="Calibri"/>
        <family val="2"/>
        <scheme val="minor"/>
      </rPr>
      <t>Considere los siguientes: Choque eléctrico, golpeado por o contra, caida desde alturas, tropiezo y caida del mismo nivel, bordes afilados o puntiagudos, combustion/fuego, ruido, salpicaduras, humos o vapores tóxicos, activación involuntaria de un equipo, afectaciones a producto o equipo y maquinaria (en condiciones de evaluacion anormal considerar firma del representante del area involucrada), etc.
C</t>
    </r>
    <r>
      <rPr>
        <b/>
        <sz val="20"/>
        <color rgb="FF000000"/>
        <rFont val="Calibri"/>
        <family val="2"/>
        <scheme val="minor"/>
      </rPr>
      <t>oloque uno por renglón para una evaluación objetiva.</t>
    </r>
  </si>
  <si>
    <r>
      <t xml:space="preserve">Exposición
</t>
    </r>
    <r>
      <rPr>
        <sz val="20"/>
        <color rgb="FF000000"/>
        <rFont val="Calibri"/>
        <family val="2"/>
      </rPr>
      <t xml:space="preserve">1 a 5 </t>
    </r>
  </si>
  <si>
    <r>
      <t xml:space="preserve">Severidad
</t>
    </r>
    <r>
      <rPr>
        <sz val="20"/>
        <rFont val="Calibri "/>
      </rPr>
      <t>1-Primer auxilio
3-Incapacitante
7-Hospitalización o fatalidad</t>
    </r>
  </si>
  <si>
    <r>
      <t xml:space="preserve">Probabilidad
</t>
    </r>
    <r>
      <rPr>
        <sz val="20"/>
        <rFont val="Calibri "/>
      </rPr>
      <t>1- Poco probable
2- Puede ocurrir
3- Muy probable o ya ocurrió</t>
    </r>
  </si>
  <si>
    <r>
      <t xml:space="preserve">RIESGO
= E*S*P
</t>
    </r>
    <r>
      <rPr>
        <sz val="20"/>
        <rFont val="Calibri "/>
      </rPr>
      <t>7 o mayor es alto riesgo</t>
    </r>
  </si>
  <si>
    <r>
      <t xml:space="preserve">Severidad
</t>
    </r>
    <r>
      <rPr>
        <sz val="20"/>
        <color rgb="FF000000"/>
        <rFont val="Calibri"/>
        <family val="2"/>
      </rPr>
      <t>1 a 5</t>
    </r>
  </si>
  <si>
    <r>
      <t xml:space="preserve">Probabilidad
</t>
    </r>
    <r>
      <rPr>
        <sz val="20"/>
        <color rgb="FF000000"/>
        <rFont val="Calibri"/>
        <family val="2"/>
      </rPr>
      <t>1 a 5</t>
    </r>
  </si>
  <si>
    <r>
      <t xml:space="preserve">Riesgo
</t>
    </r>
    <r>
      <rPr>
        <sz val="20"/>
        <color rgb="FF000000"/>
        <rFont val="Calibri"/>
        <family val="2"/>
      </rPr>
      <t>= E*S*P</t>
    </r>
  </si>
  <si>
    <r>
      <t xml:space="preserve">Controles
</t>
    </r>
    <r>
      <rPr>
        <sz val="20"/>
        <color rgb="FF000000"/>
        <rFont val="Calibri"/>
        <family val="2"/>
      </rPr>
      <t>Considere los siguientes: Bloqueo de energía LOTO, Permiso de trabajo, trabajo en equipo, cierre de área, uso de vallas/barricadas/cinta de precaución,  redireccionar vías de transito, desactivar sistema de alarmas y supresión de fuego, vigia en todas las areas de riesgo, etc.</t>
    </r>
  </si>
  <si>
    <t>Revisión de residuos: Asegurarse que no quede en el área cableado, escombro, barrenanclas, tornilleria, etc.</t>
  </si>
  <si>
    <t>Revisión posterior a instalación/desinstalación.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</si>
</sst>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  <charset val="177"/>
    </font>
    <font>
      <b/>
      <sz val="12"/>
      <name val="Arial"/>
      <family val="2"/>
      <charset val="177"/>
    </font>
    <font>
      <b/>
      <sz val="10"/>
      <name val="MS Sans Serif"/>
      <family val="2"/>
    </font>
    <font>
      <sz val="11"/>
      <color theme="1"/>
      <name val="Berlin Sans FB"/>
      <family val="2"/>
    </font>
    <font>
      <sz val="11"/>
      <color indexed="8"/>
      <name val="Calibri"/>
      <family val="2"/>
      <charset val="1"/>
    </font>
    <font>
      <sz val="10"/>
      <color theme="1"/>
      <name val="Tahoma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sz val="14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0"/>
      <color rgb="FF30302E"/>
      <name val="Arial"/>
      <family val="2"/>
    </font>
    <font>
      <sz val="10"/>
      <color rgb="FF30302E"/>
      <name val="Arial"/>
      <family val="2"/>
    </font>
    <font>
      <b/>
      <sz val="12"/>
      <color rgb="FF30302E"/>
      <name val="Aptos"/>
      <family val="2"/>
    </font>
    <font>
      <sz val="6"/>
      <color rgb="FF003865"/>
      <name val="Grandview"/>
      <family val="2"/>
    </font>
    <font>
      <b/>
      <sz val="6"/>
      <color rgb="FF003865"/>
      <name val="Grandview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20"/>
      <color theme="1"/>
      <name val="Calibri "/>
    </font>
    <font>
      <sz val="20"/>
      <color theme="1"/>
      <name val="Calibri "/>
    </font>
    <font>
      <b/>
      <sz val="20"/>
      <color theme="1"/>
      <name val="Arial"/>
      <family val="2"/>
    </font>
    <font>
      <sz val="20"/>
      <color theme="1"/>
      <name val="Tahoma"/>
      <family val="2"/>
    </font>
    <font>
      <b/>
      <sz val="20"/>
      <name val="Calibri"/>
      <family val="2"/>
      <scheme val="minor"/>
    </font>
    <font>
      <b/>
      <i/>
      <sz val="20"/>
      <color rgb="FF0000FF"/>
      <name val="Calibri"/>
      <family val="2"/>
      <scheme val="minor"/>
    </font>
    <font>
      <sz val="20"/>
      <name val="Calibri"/>
      <family val="2"/>
      <scheme val="minor"/>
    </font>
    <font>
      <b/>
      <i/>
      <sz val="2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9.5"/>
      <color theme="1"/>
      <name val="Calibri"/>
      <family val="2"/>
      <scheme val="minor"/>
    </font>
    <font>
      <sz val="19.5"/>
      <color theme="1"/>
      <name val="Calibri"/>
      <family val="2"/>
      <scheme val="minor"/>
    </font>
    <font>
      <b/>
      <i/>
      <sz val="19"/>
      <color theme="1"/>
      <name val="Calibri"/>
      <family val="2"/>
      <scheme val="minor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  <font>
      <b/>
      <sz val="20"/>
      <name val="Calibri "/>
    </font>
    <font>
      <sz val="20"/>
      <name val="Calibri "/>
    </font>
    <font>
      <b/>
      <sz val="20"/>
      <name val="Arial"/>
      <family val="2"/>
    </font>
    <font>
      <sz val="20"/>
      <name val="Tahoma"/>
      <family val="2"/>
    </font>
    <font>
      <sz val="11"/>
      <color rgb="FF00B0F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sz val="20"/>
      <color rgb="FF00B0F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7F4F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15BEF0"/>
      </top>
      <bottom style="medium">
        <color rgb="FF15BEF0"/>
      </bottom>
      <diagonal/>
    </border>
    <border>
      <left/>
      <right/>
      <top style="medium">
        <color rgb="FF15BEF0"/>
      </top>
      <bottom/>
      <diagonal/>
    </border>
    <border>
      <left/>
      <right/>
      <top/>
      <bottom style="medium">
        <color rgb="FF15BEF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71">
    <xf numFmtId="0" fontId="0" fillId="0" borderId="0"/>
    <xf numFmtId="0" fontId="3" fillId="0" borderId="0"/>
    <xf numFmtId="164" fontId="5" fillId="0" borderId="0" applyFill="0" applyBorder="0" applyAlignment="0"/>
    <xf numFmtId="0" fontId="6" fillId="0" borderId="3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4" fillId="0" borderId="0"/>
    <xf numFmtId="0" fontId="4" fillId="0" borderId="0"/>
    <xf numFmtId="0" fontId="8" fillId="0" borderId="0"/>
    <xf numFmtId="0" fontId="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</cellStyleXfs>
  <cellXfs count="391">
    <xf numFmtId="0" fontId="0" fillId="0" borderId="0" xfId="0"/>
    <xf numFmtId="0" fontId="12" fillId="0" borderId="0" xfId="69" applyFont="1" applyAlignment="1">
      <alignment horizontal="left" vertical="center" wrapText="1"/>
    </xf>
    <xf numFmtId="0" fontId="12" fillId="0" borderId="0" xfId="69" applyFont="1" applyAlignment="1">
      <alignment horizontal="left" vertical="center"/>
    </xf>
    <xf numFmtId="0" fontId="12" fillId="0" borderId="0" xfId="69" applyFont="1" applyAlignment="1">
      <alignment vertical="center" wrapText="1"/>
    </xf>
    <xf numFmtId="0" fontId="12" fillId="0" borderId="2" xfId="69" applyFont="1" applyBorder="1" applyAlignment="1">
      <alignment horizontal="left" vertical="center" wrapText="1"/>
    </xf>
    <xf numFmtId="0" fontId="11" fillId="3" borderId="2" xfId="69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1" fillId="3" borderId="7" xfId="69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4" xfId="69" applyFont="1" applyBorder="1" applyAlignment="1">
      <alignment horizontal="left" vertical="center" wrapText="1"/>
    </xf>
    <xf numFmtId="0" fontId="12" fillId="0" borderId="43" xfId="69" applyFont="1" applyBorder="1" applyAlignment="1">
      <alignment horizontal="left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1" fillId="3" borderId="0" xfId="69" applyFont="1" applyFill="1" applyAlignment="1">
      <alignment horizontal="left" vertical="center" wrapText="1"/>
    </xf>
    <xf numFmtId="0" fontId="11" fillId="3" borderId="26" xfId="69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1" fillId="0" borderId="0" xfId="69" applyFont="1" applyAlignment="1">
      <alignment horizontal="left" vertical="center" wrapText="1"/>
    </xf>
    <xf numFmtId="0" fontId="18" fillId="0" borderId="33" xfId="0" applyFont="1" applyBorder="1" applyAlignment="1">
      <alignment horizontal="center" vertical="center"/>
    </xf>
    <xf numFmtId="0" fontId="19" fillId="8" borderId="87" xfId="0" applyFont="1" applyFill="1" applyBorder="1" applyAlignment="1">
      <alignment horizontal="center" vertical="center" wrapText="1" readingOrder="1"/>
    </xf>
    <xf numFmtId="0" fontId="19" fillId="0" borderId="0" xfId="0" applyFont="1" applyAlignment="1">
      <alignment horizontal="center" vertical="center" wrapText="1" readingOrder="1"/>
    </xf>
    <xf numFmtId="0" fontId="20" fillId="0" borderId="0" xfId="0" applyFont="1" applyAlignment="1">
      <alignment horizontal="center" vertical="center" wrapText="1" readingOrder="1"/>
    </xf>
    <xf numFmtId="0" fontId="19" fillId="8" borderId="0" xfId="0" applyFont="1" applyFill="1" applyAlignment="1">
      <alignment horizontal="center" vertical="center" wrapText="1" readingOrder="1"/>
    </xf>
    <xf numFmtId="0" fontId="20" fillId="8" borderId="0" xfId="0" applyFont="1" applyFill="1" applyAlignment="1">
      <alignment horizontal="center" vertical="center" wrapText="1" readingOrder="1"/>
    </xf>
    <xf numFmtId="0" fontId="20" fillId="8" borderId="88" xfId="0" applyFont="1" applyFill="1" applyBorder="1" applyAlignment="1">
      <alignment horizontal="center" vertical="center" wrapText="1" readingOrder="1"/>
    </xf>
    <xf numFmtId="0" fontId="24" fillId="11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11" fillId="0" borderId="38" xfId="69" applyFont="1" applyBorder="1" applyAlignment="1">
      <alignment horizontal="left" vertical="center" wrapText="1"/>
    </xf>
    <xf numFmtId="0" fontId="12" fillId="0" borderId="38" xfId="0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38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9" fillId="4" borderId="78" xfId="69" applyFont="1" applyFill="1" applyBorder="1" applyAlignment="1">
      <alignment horizontal="center" vertical="center" wrapText="1"/>
    </xf>
    <xf numFmtId="0" fontId="31" fillId="4" borderId="77" xfId="69" applyFont="1" applyFill="1" applyBorder="1" applyAlignment="1">
      <alignment horizontal="center" vertical="center" wrapText="1"/>
    </xf>
    <xf numFmtId="0" fontId="31" fillId="4" borderId="65" xfId="69" applyFont="1" applyFill="1" applyBorder="1" applyAlignment="1">
      <alignment horizontal="center" vertical="center" wrapText="1"/>
    </xf>
    <xf numFmtId="0" fontId="31" fillId="4" borderId="74" xfId="69" applyFont="1" applyFill="1" applyBorder="1" applyAlignment="1">
      <alignment horizontal="center" vertical="center" wrapText="1"/>
    </xf>
    <xf numFmtId="0" fontId="33" fillId="4" borderId="77" xfId="69" applyFont="1" applyFill="1" applyBorder="1" applyAlignment="1">
      <alignment horizontal="center" vertical="center" wrapText="1"/>
    </xf>
    <xf numFmtId="0" fontId="33" fillId="4" borderId="65" xfId="69" applyFont="1" applyFill="1" applyBorder="1" applyAlignment="1">
      <alignment horizontal="center" vertical="center" wrapText="1"/>
    </xf>
    <xf numFmtId="0" fontId="33" fillId="4" borderId="74" xfId="69" applyFont="1" applyFill="1" applyBorder="1" applyAlignment="1">
      <alignment horizontal="center" vertical="center" wrapText="1"/>
    </xf>
    <xf numFmtId="0" fontId="31" fillId="4" borderId="26" xfId="69" applyFont="1" applyFill="1" applyBorder="1" applyAlignment="1">
      <alignment horizontal="center" vertical="center" wrapText="1"/>
    </xf>
    <xf numFmtId="0" fontId="31" fillId="4" borderId="25" xfId="69" applyFont="1" applyFill="1" applyBorder="1" applyAlignment="1">
      <alignment horizontal="center" vertical="center" wrapText="1"/>
    </xf>
    <xf numFmtId="0" fontId="31" fillId="4" borderId="78" xfId="69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2" borderId="11" xfId="0" applyFont="1" applyFill="1" applyBorder="1" applyAlignment="1">
      <alignment horizontal="center" vertical="center" wrapText="1"/>
    </xf>
    <xf numFmtId="0" fontId="18" fillId="0" borderId="1" xfId="69" applyFont="1" applyBorder="1" applyAlignment="1">
      <alignment horizontal="center" vertical="center" wrapText="1"/>
    </xf>
    <xf numFmtId="1" fontId="34" fillId="0" borderId="11" xfId="0" applyNumberFormat="1" applyFont="1" applyBorder="1" applyAlignment="1">
      <alignment horizontal="center" vertical="center" wrapText="1"/>
    </xf>
    <xf numFmtId="9" fontId="34" fillId="0" borderId="39" xfId="70" applyFont="1" applyBorder="1" applyAlignment="1">
      <alignment horizontal="center" vertical="center" wrapText="1"/>
    </xf>
    <xf numFmtId="0" fontId="18" fillId="0" borderId="5" xfId="69" applyFont="1" applyBorder="1" applyAlignment="1">
      <alignment horizontal="center" vertical="center" wrapText="1"/>
    </xf>
    <xf numFmtId="0" fontId="18" fillId="0" borderId="6" xfId="69" applyFont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18" fillId="0" borderId="4" xfId="69" applyFont="1" applyBorder="1" applyAlignment="1">
      <alignment horizontal="center" vertical="center" wrapText="1"/>
    </xf>
    <xf numFmtId="0" fontId="18" fillId="0" borderId="2" xfId="69" applyFont="1" applyBorder="1" applyAlignment="1">
      <alignment horizontal="center" vertical="center" wrapText="1"/>
    </xf>
    <xf numFmtId="0" fontId="18" fillId="0" borderId="43" xfId="69" applyFont="1" applyBorder="1" applyAlignment="1">
      <alignment horizontal="center" vertical="center" wrapText="1"/>
    </xf>
    <xf numFmtId="0" fontId="28" fillId="0" borderId="24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18" fillId="0" borderId="24" xfId="69" applyFont="1" applyBorder="1" applyAlignment="1">
      <alignment vertical="center" wrapText="1"/>
    </xf>
    <xf numFmtId="0" fontId="18" fillId="0" borderId="0" xfId="69" applyFont="1" applyAlignment="1">
      <alignment vertical="center" wrapText="1"/>
    </xf>
    <xf numFmtId="0" fontId="26" fillId="0" borderId="0" xfId="69" applyFont="1" applyAlignment="1">
      <alignment vertical="center" wrapText="1"/>
    </xf>
    <xf numFmtId="0" fontId="18" fillId="0" borderId="0" xfId="69" applyFont="1" applyAlignment="1">
      <alignment vertical="center"/>
    </xf>
    <xf numFmtId="0" fontId="18" fillId="0" borderId="0" xfId="0" applyFont="1" applyAlignment="1">
      <alignment vertical="center"/>
    </xf>
    <xf numFmtId="0" fontId="26" fillId="0" borderId="38" xfId="69" applyFont="1" applyBorder="1" applyAlignment="1">
      <alignment vertical="center" wrapText="1"/>
    </xf>
    <xf numFmtId="0" fontId="18" fillId="0" borderId="24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35" fillId="3" borderId="26" xfId="69" applyFont="1" applyFill="1" applyBorder="1" applyAlignment="1">
      <alignment horizontal="left" vertical="center" wrapText="1"/>
    </xf>
    <xf numFmtId="0" fontId="35" fillId="4" borderId="52" xfId="43" applyFont="1" applyFill="1" applyBorder="1" applyAlignment="1">
      <alignment horizontal="center" vertical="center" wrapText="1"/>
    </xf>
    <xf numFmtId="0" fontId="26" fillId="3" borderId="0" xfId="69" applyFont="1" applyFill="1" applyAlignment="1">
      <alignment horizontal="center" vertical="center" wrapText="1"/>
    </xf>
    <xf numFmtId="0" fontId="35" fillId="4" borderId="79" xfId="43" applyFont="1" applyFill="1" applyBorder="1" applyAlignment="1">
      <alignment horizontal="center" vertical="center" wrapText="1"/>
    </xf>
    <xf numFmtId="0" fontId="18" fillId="0" borderId="0" xfId="69" applyFont="1" applyAlignment="1">
      <alignment horizontal="center" vertical="center" wrapText="1"/>
    </xf>
    <xf numFmtId="0" fontId="38" fillId="2" borderId="59" xfId="69" applyFont="1" applyFill="1" applyBorder="1" applyAlignment="1">
      <alignment horizontal="left" vertical="center" wrapText="1"/>
    </xf>
    <xf numFmtId="0" fontId="37" fillId="2" borderId="59" xfId="69" applyFont="1" applyFill="1" applyBorder="1" applyAlignment="1">
      <alignment horizontal="left" vertical="center" wrapText="1"/>
    </xf>
    <xf numFmtId="0" fontId="26" fillId="3" borderId="2" xfId="69" applyFont="1" applyFill="1" applyBorder="1" applyAlignment="1">
      <alignment horizontal="center" vertical="center" wrapText="1"/>
    </xf>
    <xf numFmtId="0" fontId="26" fillId="3" borderId="7" xfId="69" applyFont="1" applyFill="1" applyBorder="1" applyAlignment="1">
      <alignment horizontal="center" vertical="center" wrapText="1"/>
    </xf>
    <xf numFmtId="0" fontId="37" fillId="2" borderId="35" xfId="69" applyFont="1" applyFill="1" applyBorder="1" applyAlignment="1">
      <alignment horizontal="left" vertical="center" wrapText="1"/>
    </xf>
    <xf numFmtId="0" fontId="37" fillId="2" borderId="62" xfId="69" applyFont="1" applyFill="1" applyBorder="1" applyAlignment="1">
      <alignment horizontal="left" vertical="center" wrapText="1"/>
    </xf>
    <xf numFmtId="0" fontId="41" fillId="0" borderId="28" xfId="0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1" fontId="43" fillId="2" borderId="71" xfId="69" applyNumberFormat="1" applyFont="1" applyFill="1" applyBorder="1" applyAlignment="1" applyProtection="1">
      <alignment horizontal="center" vertical="center" wrapText="1"/>
      <protection locked="0"/>
    </xf>
    <xf numFmtId="1" fontId="43" fillId="2" borderId="64" xfId="69" applyNumberFormat="1" applyFont="1" applyFill="1" applyBorder="1" applyAlignment="1" applyProtection="1">
      <alignment horizontal="center" vertical="center" wrapText="1"/>
      <protection locked="0"/>
    </xf>
    <xf numFmtId="1" fontId="43" fillId="2" borderId="75" xfId="69" applyNumberFormat="1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vertical="center" readingOrder="1"/>
    </xf>
    <xf numFmtId="0" fontId="24" fillId="10" borderId="0" xfId="0" applyFont="1" applyFill="1" applyAlignment="1">
      <alignment horizontal="center" vertical="center" wrapText="1"/>
    </xf>
    <xf numFmtId="0" fontId="44" fillId="4" borderId="78" xfId="69" applyFont="1" applyFill="1" applyBorder="1" applyAlignment="1">
      <alignment horizontal="center" vertical="center" wrapText="1"/>
    </xf>
    <xf numFmtId="0" fontId="46" fillId="4" borderId="77" xfId="69" applyFont="1" applyFill="1" applyBorder="1" applyAlignment="1">
      <alignment horizontal="center" vertical="center" wrapText="1"/>
    </xf>
    <xf numFmtId="0" fontId="46" fillId="4" borderId="65" xfId="69" applyFont="1" applyFill="1" applyBorder="1" applyAlignment="1">
      <alignment horizontal="center" vertical="center" wrapText="1"/>
    </xf>
    <xf numFmtId="0" fontId="46" fillId="4" borderId="74" xfId="69" applyFont="1" applyFill="1" applyBorder="1" applyAlignment="1">
      <alignment horizontal="center" vertical="center" wrapText="1"/>
    </xf>
    <xf numFmtId="0" fontId="48" fillId="4" borderId="77" xfId="69" applyFont="1" applyFill="1" applyBorder="1" applyAlignment="1">
      <alignment horizontal="center" vertical="center" wrapText="1"/>
    </xf>
    <xf numFmtId="0" fontId="48" fillId="4" borderId="65" xfId="69" applyFont="1" applyFill="1" applyBorder="1" applyAlignment="1">
      <alignment horizontal="center" vertical="center" wrapText="1"/>
    </xf>
    <xf numFmtId="0" fontId="48" fillId="4" borderId="74" xfId="69" applyFont="1" applyFill="1" applyBorder="1" applyAlignment="1">
      <alignment horizontal="center" vertical="center" wrapText="1"/>
    </xf>
    <xf numFmtId="0" fontId="46" fillId="4" borderId="26" xfId="69" applyFont="1" applyFill="1" applyBorder="1" applyAlignment="1">
      <alignment horizontal="center" vertical="center" wrapText="1"/>
    </xf>
    <xf numFmtId="0" fontId="46" fillId="4" borderId="25" xfId="69" applyFont="1" applyFill="1" applyBorder="1" applyAlignment="1">
      <alignment horizontal="center" vertical="center" wrapText="1"/>
    </xf>
    <xf numFmtId="0" fontId="46" fillId="4" borderId="78" xfId="69" applyFont="1" applyFill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2" borderId="11" xfId="0" applyFont="1" applyFill="1" applyBorder="1" applyAlignment="1">
      <alignment horizontal="center" vertical="center" wrapText="1"/>
    </xf>
    <xf numFmtId="0" fontId="37" fillId="0" borderId="1" xfId="69" applyFont="1" applyBorder="1" applyAlignment="1">
      <alignment horizontal="center" vertical="center" wrapText="1"/>
    </xf>
    <xf numFmtId="1" fontId="49" fillId="0" borderId="11" xfId="0" applyNumberFormat="1" applyFont="1" applyBorder="1" applyAlignment="1">
      <alignment horizontal="center" vertical="center" wrapText="1"/>
    </xf>
    <xf numFmtId="9" fontId="49" fillId="0" borderId="39" xfId="70" applyFont="1" applyBorder="1" applyAlignment="1">
      <alignment horizontal="center" vertical="center" wrapText="1"/>
    </xf>
    <xf numFmtId="0" fontId="37" fillId="0" borderId="4" xfId="69" applyFont="1" applyBorder="1" applyAlignment="1">
      <alignment horizontal="center" vertical="center" wrapText="1"/>
    </xf>
    <xf numFmtId="0" fontId="49" fillId="2" borderId="4" xfId="0" applyFont="1" applyFill="1" applyBorder="1" applyAlignment="1">
      <alignment horizontal="center" vertical="center" wrapText="1"/>
    </xf>
    <xf numFmtId="0" fontId="37" fillId="0" borderId="2" xfId="69" applyFont="1" applyBorder="1" applyAlignment="1">
      <alignment horizontal="center" vertical="center" wrapText="1"/>
    </xf>
    <xf numFmtId="0" fontId="37" fillId="0" borderId="40" xfId="69" applyFont="1" applyBorder="1" applyAlignment="1">
      <alignment horizontal="left" vertical="center" wrapText="1"/>
    </xf>
    <xf numFmtId="0" fontId="37" fillId="0" borderId="2" xfId="69" applyFont="1" applyBorder="1" applyAlignment="1">
      <alignment horizontal="left" vertical="center" wrapText="1"/>
    </xf>
    <xf numFmtId="0" fontId="37" fillId="0" borderId="41" xfId="69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5" fillId="2" borderId="36" xfId="69" applyFont="1" applyFill="1" applyBorder="1" applyAlignment="1">
      <alignment horizontal="center" vertical="center" wrapText="1"/>
    </xf>
    <xf numFmtId="0" fontId="35" fillId="2" borderId="29" xfId="69" applyFont="1" applyFill="1" applyBorder="1" applyAlignment="1">
      <alignment horizontal="center" vertical="center" wrapText="1"/>
    </xf>
    <xf numFmtId="0" fontId="35" fillId="2" borderId="37" xfId="69" applyFont="1" applyFill="1" applyBorder="1" applyAlignment="1">
      <alignment horizontal="center" vertical="center" wrapText="1"/>
    </xf>
    <xf numFmtId="0" fontId="35" fillId="2" borderId="100" xfId="69" applyFont="1" applyFill="1" applyBorder="1" applyAlignment="1">
      <alignment horizontal="center" vertical="center" wrapText="1"/>
    </xf>
    <xf numFmtId="0" fontId="35" fillId="2" borderId="99" xfId="69" applyFont="1" applyFill="1" applyBorder="1" applyAlignment="1">
      <alignment horizontal="center" vertical="center" wrapText="1"/>
    </xf>
    <xf numFmtId="0" fontId="35" fillId="2" borderId="114" xfId="69" applyFont="1" applyFill="1" applyBorder="1" applyAlignment="1">
      <alignment horizontal="center" vertical="center" wrapText="1"/>
    </xf>
    <xf numFmtId="0" fontId="51" fillId="13" borderId="40" xfId="69" applyFont="1" applyFill="1" applyBorder="1" applyAlignment="1">
      <alignment horizontal="center" vertical="center" wrapText="1"/>
    </xf>
    <xf numFmtId="0" fontId="52" fillId="13" borderId="2" xfId="69" applyFont="1" applyFill="1" applyBorder="1" applyAlignment="1">
      <alignment horizontal="center" vertical="center" wrapText="1"/>
    </xf>
    <xf numFmtId="0" fontId="52" fillId="13" borderId="6" xfId="69" applyFont="1" applyFill="1" applyBorder="1" applyAlignment="1">
      <alignment horizontal="center" vertical="center" wrapText="1"/>
    </xf>
    <xf numFmtId="0" fontId="52" fillId="2" borderId="42" xfId="69" applyFont="1" applyFill="1" applyBorder="1" applyAlignment="1">
      <alignment horizontal="center" vertical="center" wrapText="1"/>
    </xf>
    <xf numFmtId="0" fontId="52" fillId="2" borderId="43" xfId="69" applyFont="1" applyFill="1" applyBorder="1" applyAlignment="1">
      <alignment horizontal="center" vertical="center" wrapText="1"/>
    </xf>
    <xf numFmtId="0" fontId="52" fillId="2" borderId="115" xfId="69" applyFont="1" applyFill="1" applyBorder="1" applyAlignment="1">
      <alignment horizontal="center" vertical="center" wrapText="1"/>
    </xf>
    <xf numFmtId="0" fontId="37" fillId="0" borderId="40" xfId="69" applyFont="1" applyBorder="1" applyAlignment="1">
      <alignment horizontal="left" vertical="center" wrapText="1"/>
    </xf>
    <xf numFmtId="0" fontId="37" fillId="0" borderId="2" xfId="69" applyFont="1" applyBorder="1" applyAlignment="1">
      <alignment horizontal="left" vertical="center" wrapText="1"/>
    </xf>
    <xf numFmtId="0" fontId="37" fillId="0" borderId="41" xfId="69" applyFont="1" applyBorder="1" applyAlignment="1">
      <alignment horizontal="left" vertical="center" wrapText="1"/>
    </xf>
    <xf numFmtId="0" fontId="18" fillId="0" borderId="31" xfId="69" applyFont="1" applyBorder="1" applyAlignment="1">
      <alignment horizontal="left" vertical="center" wrapText="1"/>
    </xf>
    <xf numFmtId="0" fontId="18" fillId="0" borderId="1" xfId="69" applyFont="1" applyBorder="1" applyAlignment="1">
      <alignment horizontal="left" vertical="center" wrapText="1"/>
    </xf>
    <xf numFmtId="0" fontId="18" fillId="0" borderId="42" xfId="69" applyFont="1" applyBorder="1" applyAlignment="1">
      <alignment horizontal="center" vertical="center" wrapText="1"/>
    </xf>
    <xf numFmtId="0" fontId="18" fillId="0" borderId="43" xfId="69" applyFont="1" applyBorder="1" applyAlignment="1">
      <alignment horizontal="center" vertical="center" wrapText="1"/>
    </xf>
    <xf numFmtId="0" fontId="18" fillId="0" borderId="47" xfId="69" applyFont="1" applyBorder="1" applyAlignment="1">
      <alignment horizontal="center" vertical="center" wrapText="1"/>
    </xf>
    <xf numFmtId="0" fontId="35" fillId="0" borderId="30" xfId="69" applyFont="1" applyBorder="1" applyAlignment="1">
      <alignment horizontal="center" vertical="center" wrapText="1"/>
    </xf>
    <xf numFmtId="0" fontId="35" fillId="0" borderId="16" xfId="69" applyFont="1" applyBorder="1" applyAlignment="1">
      <alignment horizontal="center" vertical="center" wrapText="1"/>
    </xf>
    <xf numFmtId="0" fontId="35" fillId="0" borderId="59" xfId="69" applyFont="1" applyBorder="1" applyAlignment="1">
      <alignment horizontal="center" vertical="center" wrapText="1"/>
    </xf>
    <xf numFmtId="0" fontId="35" fillId="0" borderId="34" xfId="69" applyFont="1" applyBorder="1" applyAlignment="1">
      <alignment horizontal="center" vertical="center" wrapText="1"/>
    </xf>
    <xf numFmtId="0" fontId="35" fillId="0" borderId="17" xfId="69" applyFont="1" applyBorder="1" applyAlignment="1">
      <alignment horizontal="center" vertical="center" wrapText="1"/>
    </xf>
    <xf numFmtId="0" fontId="35" fillId="0" borderId="35" xfId="69" applyFont="1" applyBorder="1" applyAlignment="1">
      <alignment horizontal="center" vertical="center" wrapText="1"/>
    </xf>
    <xf numFmtId="0" fontId="26" fillId="2" borderId="69" xfId="69" applyFont="1" applyFill="1" applyBorder="1" applyAlignment="1">
      <alignment horizontal="center" vertical="center" wrapText="1"/>
    </xf>
    <xf numFmtId="0" fontId="26" fillId="2" borderId="19" xfId="69" applyFont="1" applyFill="1" applyBorder="1" applyAlignment="1">
      <alignment horizontal="center" vertical="center" wrapText="1"/>
    </xf>
    <xf numFmtId="0" fontId="26" fillId="2" borderId="48" xfId="69" applyFont="1" applyFill="1" applyBorder="1" applyAlignment="1">
      <alignment horizontal="center" vertical="center" wrapText="1"/>
    </xf>
    <xf numFmtId="0" fontId="26" fillId="2" borderId="16" xfId="69" applyFont="1" applyFill="1" applyBorder="1" applyAlignment="1">
      <alignment horizontal="center" vertical="center" wrapText="1"/>
    </xf>
    <xf numFmtId="0" fontId="26" fillId="2" borderId="63" xfId="69" applyFont="1" applyFill="1" applyBorder="1" applyAlignment="1">
      <alignment horizontal="center" vertical="center" wrapText="1"/>
    </xf>
    <xf numFmtId="0" fontId="26" fillId="2" borderId="17" xfId="69" applyFont="1" applyFill="1" applyBorder="1" applyAlignment="1">
      <alignment horizontal="center" vertical="center" wrapText="1"/>
    </xf>
    <xf numFmtId="0" fontId="37" fillId="2" borderId="48" xfId="69" applyFont="1" applyFill="1" applyBorder="1" applyAlignment="1">
      <alignment horizontal="center" vertical="center" wrapText="1"/>
    </xf>
    <xf numFmtId="0" fontId="37" fillId="2" borderId="16" xfId="69" applyFont="1" applyFill="1" applyBorder="1" applyAlignment="1">
      <alignment horizontal="center" vertical="center" wrapText="1"/>
    </xf>
    <xf numFmtId="0" fontId="37" fillId="2" borderId="63" xfId="69" applyFont="1" applyFill="1" applyBorder="1" applyAlignment="1">
      <alignment horizontal="center" vertical="center" wrapText="1"/>
    </xf>
    <xf numFmtId="0" fontId="37" fillId="2" borderId="17" xfId="69" applyFont="1" applyFill="1" applyBorder="1" applyAlignment="1">
      <alignment horizontal="center" vertical="center" wrapText="1"/>
    </xf>
    <xf numFmtId="0" fontId="26" fillId="2" borderId="56" xfId="69" applyFont="1" applyFill="1" applyBorder="1" applyAlignment="1">
      <alignment horizontal="center" vertical="center" wrapText="1"/>
    </xf>
    <xf numFmtId="0" fontId="26" fillId="2" borderId="57" xfId="69" applyFont="1" applyFill="1" applyBorder="1" applyAlignment="1">
      <alignment horizontal="center" vertical="center" wrapText="1"/>
    </xf>
    <xf numFmtId="0" fontId="26" fillId="2" borderId="58" xfId="69" applyFont="1" applyFill="1" applyBorder="1" applyAlignment="1">
      <alignment horizontal="center" vertical="center" wrapText="1"/>
    </xf>
    <xf numFmtId="0" fontId="26" fillId="2" borderId="75" xfId="69" applyFont="1" applyFill="1" applyBorder="1" applyAlignment="1">
      <alignment horizontal="center" vertical="center" wrapText="1"/>
    </xf>
    <xf numFmtId="0" fontId="26" fillId="2" borderId="70" xfId="69" applyFont="1" applyFill="1" applyBorder="1" applyAlignment="1">
      <alignment horizontal="center" vertical="center" wrapText="1"/>
    </xf>
    <xf numFmtId="0" fontId="26" fillId="2" borderId="76" xfId="69" applyFont="1" applyFill="1" applyBorder="1" applyAlignment="1">
      <alignment horizontal="center" vertical="center" wrapText="1"/>
    </xf>
    <xf numFmtId="0" fontId="26" fillId="2" borderId="60" xfId="69" applyFont="1" applyFill="1" applyBorder="1" applyAlignment="1">
      <alignment horizontal="center" vertical="center" wrapText="1"/>
    </xf>
    <xf numFmtId="0" fontId="26" fillId="2" borderId="61" xfId="69" applyFont="1" applyFill="1" applyBorder="1" applyAlignment="1">
      <alignment horizontal="center" vertical="center" wrapText="1"/>
    </xf>
    <xf numFmtId="0" fontId="26" fillId="2" borderId="62" xfId="69" applyFont="1" applyFill="1" applyBorder="1" applyAlignment="1">
      <alignment horizontal="center" vertical="center" wrapText="1"/>
    </xf>
    <xf numFmtId="0" fontId="26" fillId="2" borderId="34" xfId="69" applyFont="1" applyFill="1" applyBorder="1" applyAlignment="1">
      <alignment horizontal="center" vertical="center" wrapText="1"/>
    </xf>
    <xf numFmtId="0" fontId="26" fillId="2" borderId="35" xfId="69" applyFont="1" applyFill="1" applyBorder="1" applyAlignment="1">
      <alignment horizontal="center" vertical="center" wrapText="1"/>
    </xf>
    <xf numFmtId="0" fontId="38" fillId="2" borderId="29" xfId="69" applyFont="1" applyFill="1" applyBorder="1" applyAlignment="1">
      <alignment horizontal="center" vertical="center" wrapText="1"/>
    </xf>
    <xf numFmtId="0" fontId="38" fillId="2" borderId="0" xfId="69" applyFont="1" applyFill="1" applyAlignment="1">
      <alignment horizontal="center" vertical="center" wrapText="1"/>
    </xf>
    <xf numFmtId="0" fontId="38" fillId="2" borderId="49" xfId="69" applyFont="1" applyFill="1" applyBorder="1" applyAlignment="1">
      <alignment horizontal="center" vertical="center" wrapText="1"/>
    </xf>
    <xf numFmtId="0" fontId="35" fillId="0" borderId="60" xfId="69" applyFont="1" applyBorder="1" applyAlignment="1">
      <alignment horizontal="center" vertical="center" wrapText="1"/>
    </xf>
    <xf numFmtId="0" fontId="35" fillId="0" borderId="61" xfId="69" applyFont="1" applyBorder="1" applyAlignment="1">
      <alignment horizontal="center" vertical="center" wrapText="1"/>
    </xf>
    <xf numFmtId="0" fontId="35" fillId="0" borderId="62" xfId="69" applyFont="1" applyBorder="1" applyAlignment="1">
      <alignment horizontal="center" vertical="center" wrapText="1"/>
    </xf>
    <xf numFmtId="0" fontId="35" fillId="4" borderId="82" xfId="69" applyFont="1" applyFill="1" applyBorder="1" applyAlignment="1">
      <alignment horizontal="center" vertical="center" wrapText="1"/>
    </xf>
    <xf numFmtId="0" fontId="35" fillId="4" borderId="72" xfId="69" applyFont="1" applyFill="1" applyBorder="1" applyAlignment="1">
      <alignment horizontal="center" vertical="center" wrapText="1"/>
    </xf>
    <xf numFmtId="0" fontId="35" fillId="4" borderId="73" xfId="69" applyFont="1" applyFill="1" applyBorder="1" applyAlignment="1">
      <alignment horizontal="center" vertical="center" wrapText="1"/>
    </xf>
    <xf numFmtId="0" fontId="35" fillId="0" borderId="18" xfId="69" applyFont="1" applyBorder="1" applyAlignment="1">
      <alignment horizontal="center" vertical="center" wrapText="1"/>
    </xf>
    <xf numFmtId="0" fontId="35" fillId="0" borderId="70" xfId="69" applyFont="1" applyBorder="1" applyAlignment="1">
      <alignment horizontal="center" vertical="center" wrapText="1"/>
    </xf>
    <xf numFmtId="0" fontId="35" fillId="0" borderId="76" xfId="69" applyFont="1" applyBorder="1" applyAlignment="1">
      <alignment horizontal="center" vertical="center" wrapText="1"/>
    </xf>
    <xf numFmtId="0" fontId="35" fillId="0" borderId="56" xfId="69" applyFont="1" applyBorder="1" applyAlignment="1">
      <alignment horizontal="center" vertical="center" wrapText="1"/>
    </xf>
    <xf numFmtId="0" fontId="35" fillId="0" borderId="57" xfId="69" applyFont="1" applyBorder="1" applyAlignment="1">
      <alignment horizontal="center" vertical="center" wrapText="1"/>
    </xf>
    <xf numFmtId="0" fontId="35" fillId="0" borderId="58" xfId="69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8" fillId="5" borderId="54" xfId="0" applyFont="1" applyFill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 wrapText="1"/>
    </xf>
    <xf numFmtId="0" fontId="28" fillId="5" borderId="55" xfId="0" applyFont="1" applyFill="1" applyBorder="1" applyAlignment="1">
      <alignment horizontal="center" vertical="center" wrapText="1"/>
    </xf>
    <xf numFmtId="0" fontId="18" fillId="0" borderId="0" xfId="69" applyFont="1" applyAlignment="1">
      <alignment vertical="center" wrapText="1"/>
    </xf>
    <xf numFmtId="0" fontId="18" fillId="0" borderId="5" xfId="69" applyFont="1" applyBorder="1" applyAlignment="1">
      <alignment horizontal="center" vertical="center" wrapText="1"/>
    </xf>
    <xf numFmtId="0" fontId="18" fillId="0" borderId="6" xfId="69" applyFont="1" applyBorder="1" applyAlignment="1">
      <alignment horizontal="center" vertical="center" wrapText="1"/>
    </xf>
    <xf numFmtId="0" fontId="18" fillId="0" borderId="2" xfId="69" applyFont="1" applyBorder="1" applyAlignment="1">
      <alignment horizontal="center" vertical="center" wrapText="1"/>
    </xf>
    <xf numFmtId="0" fontId="29" fillId="4" borderId="64" xfId="69" applyFont="1" applyFill="1" applyBorder="1" applyAlignment="1">
      <alignment horizontal="center" vertical="center" wrapText="1"/>
    </xf>
    <xf numFmtId="0" fontId="31" fillId="4" borderId="65" xfId="69" applyFont="1" applyFill="1" applyBorder="1" applyAlignment="1">
      <alignment horizontal="center" vertical="center" wrapText="1"/>
    </xf>
    <xf numFmtId="0" fontId="31" fillId="4" borderId="66" xfId="69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5" borderId="100" xfId="0" applyFont="1" applyFill="1" applyBorder="1" applyAlignment="1">
      <alignment horizontal="center" vertical="center" wrapText="1"/>
    </xf>
    <xf numFmtId="0" fontId="28" fillId="5" borderId="99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0" fontId="28" fillId="5" borderId="4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6" fillId="6" borderId="92" xfId="0" applyFont="1" applyFill="1" applyBorder="1" applyAlignment="1">
      <alignment horizontal="center" vertical="center" wrapText="1"/>
    </xf>
    <xf numFmtId="0" fontId="26" fillId="6" borderId="93" xfId="0" applyFont="1" applyFill="1" applyBorder="1" applyAlignment="1">
      <alignment horizontal="center" vertical="center" wrapText="1"/>
    </xf>
    <xf numFmtId="0" fontId="26" fillId="6" borderId="94" xfId="0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8" xfId="69" applyFont="1" applyBorder="1" applyAlignment="1">
      <alignment horizontal="center" vertical="center" wrapText="1"/>
    </xf>
    <xf numFmtId="0" fontId="18" fillId="0" borderId="15" xfId="69" applyFont="1" applyBorder="1" applyAlignment="1">
      <alignment horizontal="center" vertical="center" wrapText="1"/>
    </xf>
    <xf numFmtId="0" fontId="18" fillId="0" borderId="1" xfId="69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8" fillId="7" borderId="4" xfId="0" applyFont="1" applyFill="1" applyBorder="1" applyAlignment="1">
      <alignment horizontal="center" vertical="center" wrapText="1"/>
    </xf>
    <xf numFmtId="0" fontId="26" fillId="4" borderId="64" xfId="69" applyFont="1" applyFill="1" applyBorder="1" applyAlignment="1">
      <alignment horizontal="center" vertical="center" wrapText="1"/>
    </xf>
    <xf numFmtId="0" fontId="26" fillId="4" borderId="65" xfId="69" applyFont="1" applyFill="1" applyBorder="1" applyAlignment="1">
      <alignment horizontal="center" vertical="center" wrapText="1"/>
    </xf>
    <xf numFmtId="0" fontId="26" fillId="4" borderId="74" xfId="69" applyFont="1" applyFill="1" applyBorder="1" applyAlignment="1">
      <alignment horizontal="center" vertical="center" wrapText="1"/>
    </xf>
    <xf numFmtId="0" fontId="29" fillId="4" borderId="74" xfId="69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4" borderId="25" xfId="0" applyFont="1" applyFill="1" applyBorder="1" applyAlignment="1">
      <alignment horizontal="center" vertical="center" wrapText="1"/>
    </xf>
    <xf numFmtId="0" fontId="26" fillId="4" borderId="26" xfId="0" applyFont="1" applyFill="1" applyBorder="1" applyAlignment="1">
      <alignment horizontal="center" vertical="center" wrapText="1"/>
    </xf>
    <xf numFmtId="0" fontId="26" fillId="4" borderId="27" xfId="0" applyFont="1" applyFill="1" applyBorder="1" applyAlignment="1">
      <alignment horizontal="center" vertical="center" wrapText="1"/>
    </xf>
    <xf numFmtId="0" fontId="39" fillId="4" borderId="77" xfId="69" applyFont="1" applyFill="1" applyBorder="1" applyAlignment="1">
      <alignment horizontal="center" vertical="center" wrapText="1"/>
    </xf>
    <xf numFmtId="0" fontId="35" fillId="4" borderId="65" xfId="69" applyFont="1" applyFill="1" applyBorder="1" applyAlignment="1">
      <alignment horizontal="center" vertical="center" wrapText="1"/>
    </xf>
    <xf numFmtId="0" fontId="35" fillId="4" borderId="66" xfId="69" applyFont="1" applyFill="1" applyBorder="1" applyAlignment="1">
      <alignment horizontal="center" vertical="center" wrapText="1"/>
    </xf>
    <xf numFmtId="0" fontId="35" fillId="4" borderId="77" xfId="69" applyFont="1" applyFill="1" applyBorder="1" applyAlignment="1">
      <alignment horizontal="center" vertical="center" wrapText="1"/>
    </xf>
    <xf numFmtId="0" fontId="37" fillId="0" borderId="80" xfId="69" applyFont="1" applyBorder="1" applyAlignment="1">
      <alignment horizontal="left" vertical="center" wrapText="1"/>
    </xf>
    <xf numFmtId="0" fontId="37" fillId="0" borderId="51" xfId="69" applyFont="1" applyBorder="1" applyAlignment="1">
      <alignment horizontal="left" vertical="center" wrapText="1"/>
    </xf>
    <xf numFmtId="0" fontId="37" fillId="0" borderId="81" xfId="69" applyFont="1" applyBorder="1" applyAlignment="1">
      <alignment horizontal="left" vertical="center" wrapText="1"/>
    </xf>
    <xf numFmtId="1" fontId="43" fillId="2" borderId="75" xfId="69" applyNumberFormat="1" applyFont="1" applyFill="1" applyBorder="1" applyAlignment="1" applyProtection="1">
      <alignment horizontal="center" vertical="center" wrapText="1"/>
      <protection locked="0"/>
    </xf>
    <xf numFmtId="1" fontId="43" fillId="2" borderId="67" xfId="69" applyNumberFormat="1" applyFont="1" applyFill="1" applyBorder="1" applyAlignment="1" applyProtection="1">
      <alignment horizontal="center" vertical="center" wrapText="1"/>
      <protection locked="0"/>
    </xf>
    <xf numFmtId="0" fontId="36" fillId="2" borderId="84" xfId="69" applyFont="1" applyFill="1" applyBorder="1" applyAlignment="1">
      <alignment horizontal="center" vertical="center" wrapText="1"/>
    </xf>
    <xf numFmtId="0" fontId="36" fillId="2" borderId="85" xfId="69" applyFont="1" applyFill="1" applyBorder="1" applyAlignment="1">
      <alignment horizontal="center" vertical="center" wrapText="1"/>
    </xf>
    <xf numFmtId="0" fontId="36" fillId="2" borderId="68" xfId="69" applyFont="1" applyFill="1" applyBorder="1" applyAlignment="1">
      <alignment horizontal="center" vertical="center" wrapText="1"/>
    </xf>
    <xf numFmtId="0" fontId="36" fillId="2" borderId="55" xfId="69" applyFont="1" applyFill="1" applyBorder="1" applyAlignment="1">
      <alignment horizontal="center" vertical="center" wrapText="1"/>
    </xf>
    <xf numFmtId="0" fontId="18" fillId="0" borderId="0" xfId="69" applyFont="1" applyAlignment="1">
      <alignment horizontal="left" vertical="center" wrapText="1"/>
    </xf>
    <xf numFmtId="0" fontId="35" fillId="4" borderId="95" xfId="43" applyFont="1" applyFill="1" applyBorder="1" applyAlignment="1">
      <alignment horizontal="left" vertical="center" wrapText="1"/>
    </xf>
    <xf numFmtId="0" fontId="35" fillId="4" borderId="96" xfId="43" applyFont="1" applyFill="1" applyBorder="1" applyAlignment="1">
      <alignment horizontal="left" vertical="center" wrapText="1"/>
    </xf>
    <xf numFmtId="0" fontId="35" fillId="4" borderId="97" xfId="43" applyFont="1" applyFill="1" applyBorder="1" applyAlignment="1">
      <alignment horizontal="left" vertical="center" wrapText="1"/>
    </xf>
    <xf numFmtId="0" fontId="35" fillId="4" borderId="52" xfId="43" applyFont="1" applyFill="1" applyBorder="1" applyAlignment="1">
      <alignment horizontal="center" vertical="center" wrapText="1"/>
    </xf>
    <xf numFmtId="0" fontId="35" fillId="4" borderId="50" xfId="43" applyFont="1" applyFill="1" applyBorder="1" applyAlignment="1">
      <alignment horizontal="center" vertical="center" wrapText="1"/>
    </xf>
    <xf numFmtId="0" fontId="35" fillId="4" borderId="25" xfId="43" applyFont="1" applyFill="1" applyBorder="1" applyAlignment="1">
      <alignment horizontal="center" vertical="center" wrapText="1"/>
    </xf>
    <xf numFmtId="0" fontId="35" fillId="4" borderId="26" xfId="43" applyFont="1" applyFill="1" applyBorder="1" applyAlignment="1">
      <alignment horizontal="center" vertical="center" wrapText="1"/>
    </xf>
    <xf numFmtId="0" fontId="35" fillId="4" borderId="27" xfId="43" applyFont="1" applyFill="1" applyBorder="1" applyAlignment="1">
      <alignment horizontal="center" vertical="center" wrapText="1"/>
    </xf>
    <xf numFmtId="0" fontId="18" fillId="0" borderId="75" xfId="69" applyFont="1" applyBorder="1" applyAlignment="1">
      <alignment horizontal="center" vertical="center" wrapText="1"/>
    </xf>
    <xf numFmtId="0" fontId="18" fillId="0" borderId="70" xfId="69" applyFont="1" applyBorder="1" applyAlignment="1">
      <alignment horizontal="center" vertical="center" wrapText="1"/>
    </xf>
    <xf numFmtId="0" fontId="36" fillId="2" borderId="72" xfId="69" applyFont="1" applyFill="1" applyBorder="1" applyAlignment="1">
      <alignment horizontal="center" vertical="center" wrapText="1"/>
    </xf>
    <xf numFmtId="0" fontId="36" fillId="2" borderId="73" xfId="69" applyFont="1" applyFill="1" applyBorder="1" applyAlignment="1">
      <alignment horizontal="center" vertical="center" wrapText="1"/>
    </xf>
    <xf numFmtId="0" fontId="18" fillId="2" borderId="0" xfId="43" applyFont="1" applyFill="1" applyAlignment="1">
      <alignment horizontal="left" vertical="center" wrapText="1"/>
    </xf>
    <xf numFmtId="0" fontId="18" fillId="2" borderId="38" xfId="43" applyFont="1" applyFill="1" applyBorder="1" applyAlignment="1">
      <alignment horizontal="left" vertical="center" wrapText="1"/>
    </xf>
    <xf numFmtId="0" fontId="26" fillId="4" borderId="71" xfId="69" applyFont="1" applyFill="1" applyBorder="1" applyAlignment="1">
      <alignment horizontal="center" vertical="center" wrapText="1"/>
    </xf>
    <xf numFmtId="0" fontId="26" fillId="4" borderId="72" xfId="69" applyFont="1" applyFill="1" applyBorder="1" applyAlignment="1">
      <alignment horizontal="center" vertical="center" wrapText="1"/>
    </xf>
    <xf numFmtId="0" fontId="26" fillId="4" borderId="73" xfId="69" applyFont="1" applyFill="1" applyBorder="1" applyAlignment="1">
      <alignment horizontal="center" vertical="center" wrapText="1"/>
    </xf>
    <xf numFmtId="0" fontId="35" fillId="4" borderId="77" xfId="43" applyFont="1" applyFill="1" applyBorder="1" applyAlignment="1">
      <alignment horizontal="center" vertical="center" wrapText="1"/>
    </xf>
    <xf numFmtId="0" fontId="35" fillId="4" borderId="65" xfId="43" applyFont="1" applyFill="1" applyBorder="1" applyAlignment="1">
      <alignment horizontal="center" vertical="center" wrapText="1"/>
    </xf>
    <xf numFmtId="0" fontId="35" fillId="4" borderId="66" xfId="43" applyFont="1" applyFill="1" applyBorder="1" applyAlignment="1">
      <alignment horizontal="center" vertical="center" wrapText="1"/>
    </xf>
    <xf numFmtId="0" fontId="37" fillId="0" borderId="31" xfId="69" applyFont="1" applyBorder="1" applyAlignment="1">
      <alignment horizontal="left" vertical="center" wrapText="1"/>
    </xf>
    <xf numFmtId="0" fontId="37" fillId="0" borderId="1" xfId="69" applyFont="1" applyBorder="1" applyAlignment="1">
      <alignment horizontal="left" vertical="center" wrapText="1"/>
    </xf>
    <xf numFmtId="0" fontId="37" fillId="0" borderId="53" xfId="69" applyFont="1" applyBorder="1" applyAlignment="1">
      <alignment horizontal="left" vertical="center" wrapText="1"/>
    </xf>
    <xf numFmtId="0" fontId="37" fillId="0" borderId="36" xfId="69" applyFont="1" applyBorder="1" applyAlignment="1">
      <alignment horizontal="center" vertical="center" wrapText="1"/>
    </xf>
    <xf numFmtId="0" fontId="37" fillId="0" borderId="29" xfId="69" applyFont="1" applyBorder="1" applyAlignment="1">
      <alignment horizontal="center" vertical="center" wrapText="1"/>
    </xf>
    <xf numFmtId="0" fontId="37" fillId="0" borderId="91" xfId="69" applyFont="1" applyBorder="1" applyAlignment="1">
      <alignment horizontal="center" vertical="center" wrapText="1"/>
    </xf>
    <xf numFmtId="0" fontId="37" fillId="0" borderId="24" xfId="69" applyFont="1" applyBorder="1" applyAlignment="1">
      <alignment horizontal="center" vertical="center" wrapText="1"/>
    </xf>
    <xf numFmtId="0" fontId="37" fillId="0" borderId="0" xfId="69" applyFont="1" applyAlignment="1">
      <alignment horizontal="center" vertical="center" wrapText="1"/>
    </xf>
    <xf numFmtId="0" fontId="37" fillId="0" borderId="13" xfId="69" applyFont="1" applyBorder="1" applyAlignment="1">
      <alignment horizontal="center" vertical="center" wrapText="1"/>
    </xf>
    <xf numFmtId="0" fontId="37" fillId="0" borderId="31" xfId="69" applyFont="1" applyBorder="1" applyAlignment="1">
      <alignment horizontal="center" vertical="center" wrapText="1"/>
    </xf>
    <xf numFmtId="0" fontId="37" fillId="0" borderId="1" xfId="69" applyFont="1" applyBorder="1" applyAlignment="1">
      <alignment horizontal="center" vertical="center" wrapText="1"/>
    </xf>
    <xf numFmtId="0" fontId="37" fillId="0" borderId="15" xfId="69" applyFont="1" applyBorder="1" applyAlignment="1">
      <alignment horizontal="center" vertical="center" wrapText="1"/>
    </xf>
    <xf numFmtId="0" fontId="37" fillId="0" borderId="89" xfId="69" applyFont="1" applyBorder="1" applyAlignment="1">
      <alignment horizontal="center" vertical="center" wrapText="1"/>
    </xf>
    <xf numFmtId="0" fontId="37" fillId="0" borderId="90" xfId="69" applyFont="1" applyBorder="1" applyAlignment="1">
      <alignment horizontal="center" vertical="center" wrapText="1"/>
    </xf>
    <xf numFmtId="0" fontId="37" fillId="0" borderId="8" xfId="69" applyFont="1" applyBorder="1" applyAlignment="1">
      <alignment horizontal="center" vertical="center" wrapText="1"/>
    </xf>
    <xf numFmtId="0" fontId="37" fillId="0" borderId="23" xfId="69" applyFont="1" applyBorder="1" applyAlignment="1">
      <alignment horizontal="center" vertical="center" wrapText="1"/>
    </xf>
    <xf numFmtId="0" fontId="37" fillId="0" borderId="7" xfId="69" applyFont="1" applyBorder="1" applyAlignment="1">
      <alignment horizontal="center" vertical="center" wrapText="1"/>
    </xf>
    <xf numFmtId="0" fontId="37" fillId="0" borderId="9" xfId="69" applyFont="1" applyBorder="1" applyAlignment="1">
      <alignment horizontal="center" vertical="center" wrapText="1"/>
    </xf>
    <xf numFmtId="0" fontId="37" fillId="0" borderId="16" xfId="69" applyFont="1" applyBorder="1" applyAlignment="1">
      <alignment horizontal="center" vertical="center" wrapText="1"/>
    </xf>
    <xf numFmtId="0" fontId="37" fillId="0" borderId="5" xfId="69" applyFont="1" applyBorder="1" applyAlignment="1">
      <alignment horizontal="center" vertical="center" wrapText="1"/>
    </xf>
    <xf numFmtId="0" fontId="37" fillId="0" borderId="2" xfId="69" applyFont="1" applyBorder="1" applyAlignment="1">
      <alignment horizontal="center" vertical="center" wrapText="1"/>
    </xf>
    <xf numFmtId="0" fontId="37" fillId="0" borderId="6" xfId="69" applyFont="1" applyBorder="1" applyAlignment="1">
      <alignment horizontal="center" vertical="center" wrapText="1"/>
    </xf>
    <xf numFmtId="0" fontId="37" fillId="0" borderId="22" xfId="69" applyFont="1" applyBorder="1" applyAlignment="1">
      <alignment horizontal="center" vertical="center" wrapText="1"/>
    </xf>
    <xf numFmtId="0" fontId="37" fillId="0" borderId="98" xfId="69" applyFont="1" applyBorder="1" applyAlignment="1">
      <alignment horizontal="center" vertical="center" wrapText="1"/>
    </xf>
    <xf numFmtId="0" fontId="13" fillId="6" borderId="25" xfId="0" applyFont="1" applyFill="1" applyBorder="1" applyAlignment="1">
      <alignment horizontal="center" vertical="center" wrapText="1"/>
    </xf>
    <xf numFmtId="0" fontId="13" fillId="6" borderId="26" xfId="0" applyFont="1" applyFill="1" applyBorder="1" applyAlignment="1">
      <alignment horizontal="center" vertical="center" wrapText="1"/>
    </xf>
    <xf numFmtId="0" fontId="13" fillId="6" borderId="27" xfId="0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15" fontId="18" fillId="0" borderId="1" xfId="0" applyNumberFormat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39" fillId="4" borderId="64" xfId="69" applyFont="1" applyFill="1" applyBorder="1" applyAlignment="1">
      <alignment horizontal="center" vertical="center" wrapText="1"/>
    </xf>
    <xf numFmtId="0" fontId="35" fillId="4" borderId="74" xfId="69" applyFont="1" applyFill="1" applyBorder="1" applyAlignment="1">
      <alignment horizontal="center" vertical="center" wrapText="1"/>
    </xf>
    <xf numFmtId="0" fontId="44" fillId="4" borderId="64" xfId="69" applyFont="1" applyFill="1" applyBorder="1" applyAlignment="1">
      <alignment horizontal="center" vertical="center" wrapText="1"/>
    </xf>
    <xf numFmtId="0" fontId="44" fillId="4" borderId="74" xfId="69" applyFont="1" applyFill="1" applyBorder="1" applyAlignment="1">
      <alignment horizontal="center" vertical="center" wrapText="1"/>
    </xf>
    <xf numFmtId="0" fontId="46" fillId="4" borderId="65" xfId="69" applyFont="1" applyFill="1" applyBorder="1" applyAlignment="1">
      <alignment horizontal="center" vertical="center" wrapText="1"/>
    </xf>
    <xf numFmtId="0" fontId="46" fillId="4" borderId="66" xfId="69" applyFont="1" applyFill="1" applyBorder="1" applyAlignment="1">
      <alignment horizontal="center" vertical="center" wrapText="1"/>
    </xf>
    <xf numFmtId="0" fontId="12" fillId="0" borderId="0" xfId="69" applyFont="1" applyAlignment="1">
      <alignment horizontal="left" vertical="center" wrapText="1"/>
    </xf>
    <xf numFmtId="0" fontId="37" fillId="0" borderId="12" xfId="69" applyFont="1" applyBorder="1" applyAlignment="1">
      <alignment horizontal="center" vertical="center" wrapText="1"/>
    </xf>
    <xf numFmtId="0" fontId="12" fillId="0" borderId="42" xfId="69" applyFont="1" applyBorder="1" applyAlignment="1">
      <alignment horizontal="center" vertical="center" wrapText="1"/>
    </xf>
    <xf numFmtId="0" fontId="12" fillId="0" borderId="43" xfId="69" applyFont="1" applyBorder="1" applyAlignment="1">
      <alignment horizontal="center" vertical="center" wrapText="1"/>
    </xf>
    <xf numFmtId="0" fontId="12" fillId="0" borderId="47" xfId="69" applyFont="1" applyBorder="1" applyAlignment="1">
      <alignment horizontal="center" vertical="center" wrapText="1"/>
    </xf>
    <xf numFmtId="0" fontId="37" fillId="0" borderId="52" xfId="69" applyFont="1" applyBorder="1" applyAlignment="1">
      <alignment horizontal="center" vertical="center" wrapText="1"/>
    </xf>
    <xf numFmtId="0" fontId="37" fillId="0" borderId="50" xfId="69" applyFont="1" applyBorder="1" applyAlignment="1">
      <alignment horizontal="center" vertical="center" wrapText="1"/>
    </xf>
    <xf numFmtId="0" fontId="37" fillId="0" borderId="83" xfId="69" applyFont="1" applyBorder="1" applyAlignment="1">
      <alignment horizontal="center" vertical="center" wrapText="1"/>
    </xf>
    <xf numFmtId="0" fontId="35" fillId="4" borderId="109" xfId="43" applyFont="1" applyFill="1" applyBorder="1" applyAlignment="1">
      <alignment horizontal="left" vertical="center" wrapText="1"/>
    </xf>
    <xf numFmtId="0" fontId="35" fillId="4" borderId="3" xfId="43" applyFont="1" applyFill="1" applyBorder="1" applyAlignment="1">
      <alignment horizontal="left" vertical="center" wrapText="1"/>
    </xf>
    <xf numFmtId="0" fontId="35" fillId="4" borderId="110" xfId="43" applyFont="1" applyFill="1" applyBorder="1" applyAlignment="1">
      <alignment horizontal="left" vertical="center" wrapText="1"/>
    </xf>
    <xf numFmtId="0" fontId="35" fillId="4" borderId="108" xfId="43" applyFont="1" applyFill="1" applyBorder="1" applyAlignment="1">
      <alignment horizontal="center" vertical="center" wrapText="1"/>
    </xf>
    <xf numFmtId="0" fontId="35" fillId="0" borderId="25" xfId="69" applyFont="1" applyBorder="1" applyAlignment="1">
      <alignment horizontal="center" vertical="center" wrapText="1"/>
    </xf>
    <xf numFmtId="0" fontId="35" fillId="0" borderId="26" xfId="69" applyFont="1" applyBorder="1" applyAlignment="1">
      <alignment horizontal="center" vertical="center" wrapText="1"/>
    </xf>
    <xf numFmtId="0" fontId="35" fillId="0" borderId="77" xfId="69" applyFont="1" applyBorder="1" applyAlignment="1">
      <alignment horizontal="center" vertical="center" wrapText="1"/>
    </xf>
    <xf numFmtId="0" fontId="18" fillId="0" borderId="111" xfId="69" applyFont="1" applyBorder="1" applyAlignment="1">
      <alignment horizontal="center" vertical="center" wrapText="1"/>
    </xf>
    <xf numFmtId="0" fontId="18" fillId="0" borderId="112" xfId="69" applyFont="1" applyBorder="1" applyAlignment="1">
      <alignment horizontal="center" vertical="center" wrapText="1"/>
    </xf>
    <xf numFmtId="0" fontId="18" fillId="0" borderId="113" xfId="69" applyFont="1" applyBorder="1" applyAlignment="1">
      <alignment horizontal="center" vertical="center" wrapText="1"/>
    </xf>
    <xf numFmtId="0" fontId="26" fillId="2" borderId="50" xfId="69" applyFont="1" applyFill="1" applyBorder="1" applyAlignment="1">
      <alignment horizontal="center" vertical="center" wrapText="1"/>
    </xf>
    <xf numFmtId="0" fontId="26" fillId="2" borderId="82" xfId="69" applyFont="1" applyFill="1" applyBorder="1" applyAlignment="1">
      <alignment horizontal="center" vertical="center" wrapText="1"/>
    </xf>
    <xf numFmtId="0" fontId="26" fillId="2" borderId="0" xfId="69" applyFont="1" applyFill="1" applyAlignment="1">
      <alignment horizontal="center" vertical="center" wrapText="1"/>
    </xf>
    <xf numFmtId="0" fontId="26" fillId="2" borderId="18" xfId="69" applyFont="1" applyFill="1" applyBorder="1" applyAlignment="1">
      <alignment horizontal="center" vertical="center" wrapText="1"/>
    </xf>
    <xf numFmtId="0" fontId="26" fillId="2" borderId="49" xfId="69" applyFont="1" applyFill="1" applyBorder="1" applyAlignment="1">
      <alignment horizontal="center" vertical="center" wrapText="1"/>
    </xf>
    <xf numFmtId="0" fontId="26" fillId="2" borderId="103" xfId="69" applyFont="1" applyFill="1" applyBorder="1" applyAlignment="1">
      <alignment horizontal="center" vertical="center" wrapText="1"/>
    </xf>
    <xf numFmtId="0" fontId="17" fillId="2" borderId="74" xfId="69" applyFont="1" applyFill="1" applyBorder="1" applyAlignment="1">
      <alignment horizontal="center" vertical="center" wrapText="1"/>
    </xf>
    <xf numFmtId="0" fontId="17" fillId="2" borderId="27" xfId="69" applyFont="1" applyFill="1" applyBorder="1" applyAlignment="1">
      <alignment horizontal="center" vertical="center" wrapText="1"/>
    </xf>
    <xf numFmtId="0" fontId="26" fillId="4" borderId="25" xfId="69" applyFont="1" applyFill="1" applyBorder="1" applyAlignment="1">
      <alignment horizontal="center" vertical="center" wrapText="1"/>
    </xf>
    <xf numFmtId="0" fontId="26" fillId="4" borderId="26" xfId="69" applyFont="1" applyFill="1" applyBorder="1" applyAlignment="1">
      <alignment horizontal="center" vertical="center" wrapText="1"/>
    </xf>
    <xf numFmtId="0" fontId="26" fillId="4" borderId="27" xfId="69" applyFont="1" applyFill="1" applyBorder="1" applyAlignment="1">
      <alignment horizontal="center" vertical="center" wrapText="1"/>
    </xf>
    <xf numFmtId="0" fontId="17" fillId="2" borderId="84" xfId="69" applyFont="1" applyFill="1" applyBorder="1" applyAlignment="1">
      <alignment horizontal="center" vertical="center" wrapText="1"/>
    </xf>
    <xf numFmtId="0" fontId="17" fillId="2" borderId="85" xfId="69" applyFont="1" applyFill="1" applyBorder="1" applyAlignment="1">
      <alignment horizontal="center" vertical="center" wrapText="1"/>
    </xf>
    <xf numFmtId="0" fontId="17" fillId="2" borderId="68" xfId="69" applyFont="1" applyFill="1" applyBorder="1" applyAlignment="1">
      <alignment horizontal="center" vertical="center" wrapText="1"/>
    </xf>
    <xf numFmtId="0" fontId="17" fillId="2" borderId="55" xfId="69" applyFont="1" applyFill="1" applyBorder="1" applyAlignment="1">
      <alignment horizontal="center" vertical="center" wrapText="1"/>
    </xf>
    <xf numFmtId="0" fontId="39" fillId="4" borderId="25" xfId="69" applyFont="1" applyFill="1" applyBorder="1" applyAlignment="1">
      <alignment horizontal="center" vertical="center" wrapText="1"/>
    </xf>
    <xf numFmtId="0" fontId="39" fillId="4" borderId="26" xfId="69" applyFont="1" applyFill="1" applyBorder="1" applyAlignment="1">
      <alignment horizontal="center" vertical="center" wrapText="1"/>
    </xf>
    <xf numFmtId="0" fontId="39" fillId="4" borderId="27" xfId="69" applyFont="1" applyFill="1" applyBorder="1" applyAlignment="1">
      <alignment horizontal="center" vertical="center" wrapText="1"/>
    </xf>
    <xf numFmtId="0" fontId="35" fillId="0" borderId="27" xfId="69" applyFont="1" applyBorder="1" applyAlignment="1">
      <alignment horizontal="center" vertical="center" wrapText="1"/>
    </xf>
    <xf numFmtId="0" fontId="35" fillId="4" borderId="25" xfId="69" applyFont="1" applyFill="1" applyBorder="1" applyAlignment="1">
      <alignment horizontal="center" vertical="center" wrapText="1"/>
    </xf>
    <xf numFmtId="0" fontId="35" fillId="4" borderId="26" xfId="69" applyFont="1" applyFill="1" applyBorder="1" applyAlignment="1">
      <alignment horizontal="center" vertical="center" wrapText="1"/>
    </xf>
    <xf numFmtId="0" fontId="35" fillId="4" borderId="27" xfId="69" applyFont="1" applyFill="1" applyBorder="1" applyAlignment="1">
      <alignment horizontal="center" vertical="center" wrapText="1"/>
    </xf>
    <xf numFmtId="0" fontId="26" fillId="2" borderId="52" xfId="69" applyFont="1" applyFill="1" applyBorder="1" applyAlignment="1">
      <alignment horizontal="center" vertical="center" wrapText="1"/>
    </xf>
    <xf numFmtId="0" fontId="26" fillId="2" borderId="85" xfId="69" applyFont="1" applyFill="1" applyBorder="1" applyAlignment="1">
      <alignment horizontal="center" vertical="center" wrapText="1"/>
    </xf>
    <xf numFmtId="0" fontId="26" fillId="2" borderId="54" xfId="69" applyFont="1" applyFill="1" applyBorder="1" applyAlignment="1">
      <alignment horizontal="center" vertical="center" wrapText="1"/>
    </xf>
    <xf numFmtId="0" fontId="26" fillId="2" borderId="55" xfId="69" applyFont="1" applyFill="1" applyBorder="1" applyAlignment="1">
      <alignment horizontal="center" vertical="center" wrapText="1"/>
    </xf>
    <xf numFmtId="0" fontId="35" fillId="0" borderId="44" xfId="69" applyFont="1" applyBorder="1" applyAlignment="1">
      <alignment horizontal="center" vertical="center" wrapText="1"/>
    </xf>
    <xf numFmtId="0" fontId="35" fillId="0" borderId="45" xfId="69" applyFont="1" applyBorder="1" applyAlignment="1">
      <alignment horizontal="center" vertical="center" wrapText="1"/>
    </xf>
    <xf numFmtId="0" fontId="35" fillId="0" borderId="46" xfId="69" applyFont="1" applyBorder="1" applyAlignment="1">
      <alignment horizontal="center" vertical="center" wrapText="1"/>
    </xf>
    <xf numFmtId="0" fontId="35" fillId="0" borderId="104" xfId="69" applyFont="1" applyBorder="1" applyAlignment="1">
      <alignment horizontal="center" vertical="center" wrapText="1"/>
    </xf>
    <xf numFmtId="0" fontId="35" fillId="0" borderId="105" xfId="69" applyFont="1" applyBorder="1" applyAlignment="1">
      <alignment horizontal="center" vertical="center" wrapText="1"/>
    </xf>
    <xf numFmtId="0" fontId="35" fillId="0" borderId="107" xfId="69" applyFont="1" applyBorder="1" applyAlignment="1">
      <alignment horizontal="center" vertical="center" wrapText="1"/>
    </xf>
    <xf numFmtId="0" fontId="35" fillId="0" borderId="101" xfId="69" applyFont="1" applyBorder="1" applyAlignment="1">
      <alignment horizontal="center" vertical="center" wrapText="1"/>
    </xf>
    <xf numFmtId="0" fontId="35" fillId="0" borderId="102" xfId="69" applyFont="1" applyBorder="1" applyAlignment="1">
      <alignment horizontal="center" vertical="center" wrapText="1"/>
    </xf>
    <xf numFmtId="0" fontId="35" fillId="0" borderId="106" xfId="69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readingOrder="1"/>
    </xf>
    <xf numFmtId="0" fontId="22" fillId="0" borderId="0" xfId="0" applyFont="1" applyAlignment="1">
      <alignment horizontal="left" wrapText="1"/>
    </xf>
    <xf numFmtId="0" fontId="21" fillId="0" borderId="86" xfId="0" applyFont="1" applyBorder="1" applyAlignment="1">
      <alignment horizontal="center" vertical="center" wrapText="1" readingOrder="1"/>
    </xf>
    <xf numFmtId="0" fontId="19" fillId="8" borderId="0" xfId="0" applyFont="1" applyFill="1" applyAlignment="1">
      <alignment horizontal="center" vertical="center" wrapText="1" readingOrder="1"/>
    </xf>
    <xf numFmtId="0" fontId="19" fillId="8" borderId="88" xfId="0" applyFont="1" applyFill="1" applyBorder="1" applyAlignment="1">
      <alignment horizontal="center" vertical="center" wrapText="1" readingOrder="1"/>
    </xf>
    <xf numFmtId="0" fontId="20" fillId="8" borderId="0" xfId="0" applyFont="1" applyFill="1" applyAlignment="1">
      <alignment horizontal="center" vertical="center" wrapText="1" readingOrder="1"/>
    </xf>
    <xf numFmtId="0" fontId="20" fillId="8" borderId="88" xfId="0" applyFont="1" applyFill="1" applyBorder="1" applyAlignment="1">
      <alignment horizontal="center" vertical="center" wrapText="1" readingOrder="1"/>
    </xf>
    <xf numFmtId="0" fontId="50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wrapText="1"/>
    </xf>
  </cellXfs>
  <cellStyles count="71">
    <cellStyle name="Calc Currency (0)" xfId="2" xr:uid="{00000000-0005-0000-0000-000000000000}"/>
    <cellStyle name="Excel Built-in Normal" xfId="17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Normal - Style1" xfId="10" xr:uid="{00000000-0005-0000-0000-000005000000}"/>
    <cellStyle name="Normal 10" xfId="5" xr:uid="{00000000-0005-0000-0000-000006000000}"/>
    <cellStyle name="Normal 11" xfId="18" xr:uid="{00000000-0005-0000-0000-000007000000}"/>
    <cellStyle name="Normal 12" xfId="19" xr:uid="{00000000-0005-0000-0000-000008000000}"/>
    <cellStyle name="Normal 13" xfId="39" xr:uid="{00000000-0005-0000-0000-000009000000}"/>
    <cellStyle name="Normal 14" xfId="40" xr:uid="{00000000-0005-0000-0000-00000A000000}"/>
    <cellStyle name="Normal 15" xfId="11" xr:uid="{00000000-0005-0000-0000-00000B000000}"/>
    <cellStyle name="Normal 16" xfId="13" xr:uid="{00000000-0005-0000-0000-00000C000000}"/>
    <cellStyle name="Normal 17" xfId="12" xr:uid="{00000000-0005-0000-0000-00000D000000}"/>
    <cellStyle name="Normal 18" xfId="45" xr:uid="{00000000-0005-0000-0000-00000E000000}"/>
    <cellStyle name="Normal 19" xfId="50" xr:uid="{00000000-0005-0000-0000-00000F000000}"/>
    <cellStyle name="Normal 2" xfId="6" xr:uid="{00000000-0005-0000-0000-000010000000}"/>
    <cellStyle name="Normal 2 2" xfId="20" xr:uid="{00000000-0005-0000-0000-000011000000}"/>
    <cellStyle name="Normal 2 3" xfId="69" xr:uid="{00000000-0005-0000-0000-000012000000}"/>
    <cellStyle name="Normal 20" xfId="47" xr:uid="{00000000-0005-0000-0000-000013000000}"/>
    <cellStyle name="Normal 21" xfId="44" xr:uid="{00000000-0005-0000-0000-000014000000}"/>
    <cellStyle name="Normal 22" xfId="48" xr:uid="{00000000-0005-0000-0000-000015000000}"/>
    <cellStyle name="Normal 23" xfId="41" xr:uid="{00000000-0005-0000-0000-000016000000}"/>
    <cellStyle name="Normal 24" xfId="43" xr:uid="{00000000-0005-0000-0000-000017000000}"/>
    <cellStyle name="Normal 25" xfId="15" xr:uid="{00000000-0005-0000-0000-000018000000}"/>
    <cellStyle name="Normal 26" xfId="46" xr:uid="{00000000-0005-0000-0000-000019000000}"/>
    <cellStyle name="Normal 27" xfId="42" xr:uid="{00000000-0005-0000-0000-00001A000000}"/>
    <cellStyle name="Normal 28" xfId="51" xr:uid="{00000000-0005-0000-0000-00001B000000}"/>
    <cellStyle name="Normal 29" xfId="57" xr:uid="{00000000-0005-0000-0000-00001C000000}"/>
    <cellStyle name="Normal 3" xfId="7" xr:uid="{00000000-0005-0000-0000-00001D000000}"/>
    <cellStyle name="Normal 3 2" xfId="21" xr:uid="{00000000-0005-0000-0000-00001E000000}"/>
    <cellStyle name="Normal 3 3" xfId="22" xr:uid="{00000000-0005-0000-0000-00001F000000}"/>
    <cellStyle name="Normal 30" xfId="54" xr:uid="{00000000-0005-0000-0000-000020000000}"/>
    <cellStyle name="Normal 31" xfId="53" xr:uid="{00000000-0005-0000-0000-000021000000}"/>
    <cellStyle name="Normal 32" xfId="52" xr:uid="{00000000-0005-0000-0000-000022000000}"/>
    <cellStyle name="Normal 33" xfId="56" xr:uid="{00000000-0005-0000-0000-000023000000}"/>
    <cellStyle name="Normal 34" xfId="55" xr:uid="{00000000-0005-0000-0000-000024000000}"/>
    <cellStyle name="Normal 35" xfId="58" xr:uid="{00000000-0005-0000-0000-000025000000}"/>
    <cellStyle name="Normal 36" xfId="60" xr:uid="{00000000-0005-0000-0000-000026000000}"/>
    <cellStyle name="Normal 37" xfId="61" xr:uid="{00000000-0005-0000-0000-000027000000}"/>
    <cellStyle name="Normal 38" xfId="62" xr:uid="{00000000-0005-0000-0000-000028000000}"/>
    <cellStyle name="Normal 39" xfId="66" xr:uid="{00000000-0005-0000-0000-000029000000}"/>
    <cellStyle name="Normal 4" xfId="16" xr:uid="{00000000-0005-0000-0000-00002A000000}"/>
    <cellStyle name="Normal 4 2" xfId="23" xr:uid="{00000000-0005-0000-0000-00002B000000}"/>
    <cellStyle name="Normal 4 3" xfId="49" xr:uid="{00000000-0005-0000-0000-00002C000000}"/>
    <cellStyle name="Normal 40" xfId="64" xr:uid="{00000000-0005-0000-0000-00002D000000}"/>
    <cellStyle name="Normal 41" xfId="65" xr:uid="{00000000-0005-0000-0000-00002E000000}"/>
    <cellStyle name="Normal 42" xfId="67" xr:uid="{00000000-0005-0000-0000-00002F000000}"/>
    <cellStyle name="Normal 43" xfId="63" xr:uid="{00000000-0005-0000-0000-000030000000}"/>
    <cellStyle name="Normal 44" xfId="59" xr:uid="{00000000-0005-0000-0000-000031000000}"/>
    <cellStyle name="Normal 45" xfId="68" xr:uid="{00000000-0005-0000-0000-000032000000}"/>
    <cellStyle name="Normal 46" xfId="1" xr:uid="{00000000-0005-0000-0000-000033000000}"/>
    <cellStyle name="Normal 5" xfId="24" xr:uid="{00000000-0005-0000-0000-000034000000}"/>
    <cellStyle name="Normal 5 2" xfId="25" xr:uid="{00000000-0005-0000-0000-000035000000}"/>
    <cellStyle name="Normal 5 2 2" xfId="26" xr:uid="{00000000-0005-0000-0000-000036000000}"/>
    <cellStyle name="Normal 5 2 2 2" xfId="27" xr:uid="{00000000-0005-0000-0000-000037000000}"/>
    <cellStyle name="Normal 5 2 3" xfId="28" xr:uid="{00000000-0005-0000-0000-000038000000}"/>
    <cellStyle name="Normal 6" xfId="14" xr:uid="{00000000-0005-0000-0000-000039000000}"/>
    <cellStyle name="Normal 6 2" xfId="29" xr:uid="{00000000-0005-0000-0000-00003A000000}"/>
    <cellStyle name="Normal 6 2 2" xfId="30" xr:uid="{00000000-0005-0000-0000-00003B000000}"/>
    <cellStyle name="Normal 6 2 2 2" xfId="31" xr:uid="{00000000-0005-0000-0000-00003C000000}"/>
    <cellStyle name="Normal 6 3" xfId="32" xr:uid="{00000000-0005-0000-0000-00003D000000}"/>
    <cellStyle name="Normal 7" xfId="33" xr:uid="{00000000-0005-0000-0000-00003E000000}"/>
    <cellStyle name="Normal 8" xfId="34" xr:uid="{00000000-0005-0000-0000-00003F000000}"/>
    <cellStyle name="Normal 9" xfId="35" xr:uid="{00000000-0005-0000-0000-000040000000}"/>
    <cellStyle name="Percent" xfId="70" builtinId="5"/>
    <cellStyle name="Percent 2" xfId="36" xr:uid="{00000000-0005-0000-0000-000041000000}"/>
    <cellStyle name="Percent 3" xfId="37" xr:uid="{00000000-0005-0000-0000-000042000000}"/>
    <cellStyle name="RowLevel_1_OUTPUT2" xfId="8" xr:uid="{00000000-0005-0000-0000-000043000000}"/>
    <cellStyle name="Style 1" xfId="9" xr:uid="{00000000-0005-0000-0000-000044000000}"/>
    <cellStyle name="Style 1 2" xfId="38" xr:uid="{00000000-0005-0000-0000-000045000000}"/>
  </cellStyles>
  <dxfs count="2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FF66"/>
        </patternFill>
      </fill>
    </dxf>
    <dxf>
      <font>
        <color auto="1"/>
        <name val="Cambria"/>
        <scheme val="none"/>
      </font>
      <fill>
        <patternFill>
          <bgColor rgb="FFFFC000"/>
        </patternFill>
      </fill>
    </dxf>
    <dxf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FF66"/>
        </patternFill>
      </fill>
    </dxf>
    <dxf>
      <font>
        <color auto="1"/>
        <name val="Cambria"/>
        <scheme val="none"/>
      </font>
      <fill>
        <patternFill>
          <bgColor rgb="FFFFC000"/>
        </patternFill>
      </fill>
    </dxf>
    <dxf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FF66"/>
        </patternFill>
      </fill>
    </dxf>
    <dxf>
      <font>
        <color auto="1"/>
        <name val="Cambria"/>
        <scheme val="none"/>
      </font>
      <fill>
        <patternFill>
          <bgColor rgb="FFFFC000"/>
        </patternFill>
      </fill>
    </dxf>
    <dxf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FF66"/>
        </patternFill>
      </fill>
    </dxf>
    <dxf>
      <font>
        <color auto="1"/>
        <name val="Cambria"/>
        <scheme val="none"/>
      </font>
      <fill>
        <patternFill>
          <bgColor rgb="FFFFC000"/>
        </patternFill>
      </fill>
    </dxf>
    <dxf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FF66"/>
        </patternFill>
      </fill>
    </dxf>
    <dxf>
      <font>
        <color auto="1"/>
        <name val="Cambria"/>
        <scheme val="none"/>
      </font>
      <fill>
        <patternFill>
          <bgColor rgb="FFFFC000"/>
        </patternFill>
      </fill>
    </dxf>
    <dxf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FF66"/>
        </patternFill>
      </fill>
    </dxf>
    <dxf>
      <font>
        <color auto="1"/>
        <name val="Cambria"/>
        <scheme val="none"/>
      </font>
      <fill>
        <patternFill>
          <bgColor rgb="FFFFC000"/>
        </patternFill>
      </fill>
    </dxf>
    <dxf>
      <fill>
        <patternFill>
          <bgColor rgb="FFFF33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FF66"/>
        </patternFill>
      </fill>
    </dxf>
    <dxf>
      <font>
        <color auto="1"/>
        <name val="Cambria"/>
        <scheme val="none"/>
      </font>
      <fill>
        <patternFill>
          <bgColor rgb="FFFFC000"/>
        </patternFill>
      </fill>
    </dxf>
    <dxf>
      <fill>
        <patternFill>
          <bgColor rgb="FFFF33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11</xdr:row>
      <xdr:rowOff>111919</xdr:rowOff>
    </xdr:from>
    <xdr:to>
      <xdr:col>0</xdr:col>
      <xdr:colOff>892970</xdr:colOff>
      <xdr:row>11</xdr:row>
      <xdr:rowOff>769322</xdr:rowOff>
    </xdr:to>
    <xdr:pic>
      <xdr:nvPicPr>
        <xdr:cNvPr id="2" name="Picture 1" descr="Cutting welding: Más de 4,232 ilustraciones y dibujos de stock con licencia  libres de regalías | Shutterstock">
          <a:extLst>
            <a:ext uri="{FF2B5EF4-FFF2-40B4-BE49-F238E27FC236}">
              <a16:creationId xmlns:a16="http://schemas.microsoft.com/office/drawing/2014/main" id="{7BB73AD1-00C4-4939-A9DA-C80ED06B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6" y="2755107"/>
          <a:ext cx="654844" cy="647878"/>
        </a:xfrm>
        <a:prstGeom prst="ellipse">
          <a:avLst/>
        </a:prstGeom>
        <a:ln w="9525" cap="rnd">
          <a:solidFill>
            <a:sysClr val="windowText" lastClr="0000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13</xdr:row>
      <xdr:rowOff>123825</xdr:rowOff>
    </xdr:from>
    <xdr:to>
      <xdr:col>0</xdr:col>
      <xdr:colOff>885825</xdr:colOff>
      <xdr:row>15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29B15E-E8B5-423E-BB75-B35FB523ADBD}"/>
            </a:ext>
            <a:ext uri="{147F2762-F138-4A5C-976F-8EAC2B608ADB}">
              <a16:predDERef xmlns:a16="http://schemas.microsoft.com/office/drawing/2014/main" pred="{7BB73AD1-00C4-4939-A9DA-C80ED06B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5267325"/>
          <a:ext cx="704850" cy="647700"/>
        </a:xfrm>
        <a:prstGeom prst="ellipse">
          <a:avLst/>
        </a:prstGeom>
        <a:ln w="635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155572</xdr:colOff>
      <xdr:row>17</xdr:row>
      <xdr:rowOff>126205</xdr:rowOff>
    </xdr:from>
    <xdr:to>
      <xdr:col>0</xdr:col>
      <xdr:colOff>865015</xdr:colOff>
      <xdr:row>19</xdr:row>
      <xdr:rowOff>239711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775371-DAD7-4F12-B81D-85F26BB8FDB2}"/>
            </a:ext>
            <a:ext uri="{147F2762-F138-4A5C-976F-8EAC2B608ADB}">
              <a16:predDERef xmlns:a16="http://schemas.microsoft.com/office/drawing/2014/main" pred="{F429B15E-E8B5-423E-BB75-B35FB523A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572" y="6603205"/>
          <a:ext cx="709443" cy="646906"/>
        </a:xfrm>
        <a:prstGeom prst="ellipse">
          <a:avLst/>
        </a:prstGeom>
        <a:ln w="952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0</xdr:col>
      <xdr:colOff>123825</xdr:colOff>
      <xdr:row>22</xdr:row>
      <xdr:rowOff>76200</xdr:rowOff>
    </xdr:from>
    <xdr:to>
      <xdr:col>0</xdr:col>
      <xdr:colOff>885057</xdr:colOff>
      <xdr:row>25</xdr:row>
      <xdr:rowOff>0</xdr:rowOff>
    </xdr:to>
    <xdr:pic>
      <xdr:nvPicPr>
        <xdr:cNvPr id="5" name="Picture 4" descr="Icono del trabajador parado junto a: vector de stock (libre de regalías)  1947263959 | Shutterstock">
          <a:extLst>
            <a:ext uri="{FF2B5EF4-FFF2-40B4-BE49-F238E27FC236}">
              <a16:creationId xmlns:a16="http://schemas.microsoft.com/office/drawing/2014/main" id="{4E5AB6B0-0926-474C-ACFC-CB544B55B817}"/>
            </a:ext>
            <a:ext uri="{147F2762-F138-4A5C-976F-8EAC2B608ADB}">
              <a16:predDERef xmlns:a16="http://schemas.microsoft.com/office/drawing/2014/main" pred="{3D775371-DAD7-4F12-B81D-85F26BB8F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077200"/>
          <a:ext cx="761232" cy="723900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273581</xdr:colOff>
      <xdr:row>52</xdr:row>
      <xdr:rowOff>446507</xdr:rowOff>
    </xdr:from>
    <xdr:to>
      <xdr:col>3</xdr:col>
      <xdr:colOff>916517</xdr:colOff>
      <xdr:row>61</xdr:row>
      <xdr:rowOff>70908</xdr:rowOff>
    </xdr:to>
    <xdr:pic>
      <xdr:nvPicPr>
        <xdr:cNvPr id="20" name="Picture 19" descr="Equipo De Protección Personal Requerido Símbolo De Seguridad De Ppe  Ilustración del Vector - Ilustración de seguro, pista: 181833845">
          <a:extLst>
            <a:ext uri="{FF2B5EF4-FFF2-40B4-BE49-F238E27FC236}">
              <a16:creationId xmlns:a16="http://schemas.microsoft.com/office/drawing/2014/main" id="{94B27F4E-8674-FBD6-C7CA-7D08600D2570}"/>
            </a:ext>
            <a:ext uri="{147F2762-F138-4A5C-976F-8EAC2B608ADB}">
              <a16:predDERef xmlns:a16="http://schemas.microsoft.com/office/drawing/2014/main" pred="{4E5AB6B0-0926-474C-ACFC-CB544B55B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581" y="24316157"/>
          <a:ext cx="3643311" cy="3739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625078</xdr:colOff>
      <xdr:row>11</xdr:row>
      <xdr:rowOff>57150</xdr:rowOff>
    </xdr:from>
    <xdr:to>
      <xdr:col>11</xdr:col>
      <xdr:colOff>472678</xdr:colOff>
      <xdr:row>12</xdr:row>
      <xdr:rowOff>1190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EDA026D-577D-5740-E55A-5F5892B5290B}"/>
            </a:ext>
            <a:ext uri="{147F2762-F138-4A5C-976F-8EAC2B608ADB}">
              <a16:predDERef xmlns:a16="http://schemas.microsoft.com/office/drawing/2014/main" pred="{DB5F694D-2D81-49A1-804D-83F238B8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60969" y="4492228"/>
          <a:ext cx="877490" cy="848915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11</xdr:row>
      <xdr:rowOff>826294</xdr:rowOff>
    </xdr:from>
    <xdr:to>
      <xdr:col>11</xdr:col>
      <xdr:colOff>323850</xdr:colOff>
      <xdr:row>14</xdr:row>
      <xdr:rowOff>111919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45A5F9-C3FA-4575-86FE-430087B8AC1C}"/>
            </a:ext>
            <a:ext uri="{147F2762-F138-4A5C-976F-8EAC2B608ADB}">
              <a16:predDERef xmlns:a16="http://schemas.microsoft.com/office/drawing/2014/main" pred="{9EDA026D-577D-5740-E55A-5F5892B52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78841" y="5261372"/>
          <a:ext cx="610790" cy="726281"/>
        </a:xfrm>
        <a:prstGeom prst="rect">
          <a:avLst/>
        </a:prstGeom>
      </xdr:spPr>
    </xdr:pic>
    <xdr:clientData/>
  </xdr:twoCellAnchor>
  <xdr:twoCellAnchor editAs="oneCell">
    <xdr:from>
      <xdr:col>6</xdr:col>
      <xdr:colOff>734615</xdr:colOff>
      <xdr:row>15</xdr:row>
      <xdr:rowOff>65484</xdr:rowOff>
    </xdr:from>
    <xdr:to>
      <xdr:col>11</xdr:col>
      <xdr:colOff>296465</xdr:colOff>
      <xdr:row>17</xdr:row>
      <xdr:rowOff>198834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5FDDF02-3EF7-853D-0DC3-41CAE089EF67}"/>
            </a:ext>
            <a:ext uri="{147F2762-F138-4A5C-976F-8EAC2B608ADB}">
              <a16:predDERef xmlns:a16="http://schemas.microsoft.com/office/drawing/2014/main" pred="{B545A5F9-C3FA-4575-86FE-430087B8A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70506" y="6209109"/>
          <a:ext cx="591740" cy="669131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18</xdr:row>
      <xdr:rowOff>152401</xdr:rowOff>
    </xdr:from>
    <xdr:to>
      <xdr:col>11</xdr:col>
      <xdr:colOff>400050</xdr:colOff>
      <xdr:row>21</xdr:row>
      <xdr:rowOff>95251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EEC6808-18F6-DC0F-15E0-7557A72EA0AE}"/>
            </a:ext>
            <a:ext uri="{147F2762-F138-4A5C-976F-8EAC2B608ADB}">
              <a16:predDERef xmlns:a16="http://schemas.microsoft.com/office/drawing/2014/main" pred="{A5FDDF02-3EF7-853D-0DC3-41CAE089E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35966" y="7099698"/>
          <a:ext cx="829865" cy="746522"/>
        </a:xfrm>
        <a:prstGeom prst="rect">
          <a:avLst/>
        </a:prstGeom>
      </xdr:spPr>
    </xdr:pic>
    <xdr:clientData/>
  </xdr:twoCellAnchor>
  <xdr:twoCellAnchor editAs="oneCell">
    <xdr:from>
      <xdr:col>34</xdr:col>
      <xdr:colOff>1666875</xdr:colOff>
      <xdr:row>18</xdr:row>
      <xdr:rowOff>171450</xdr:rowOff>
    </xdr:from>
    <xdr:to>
      <xdr:col>34</xdr:col>
      <xdr:colOff>2314575</xdr:colOff>
      <xdr:row>21</xdr:row>
      <xdr:rowOff>66675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B71919C-1BA9-5CCD-617A-642237DF247D}"/>
            </a:ext>
            <a:ext uri="{147F2762-F138-4A5C-976F-8EAC2B608ADB}">
              <a16:predDERef xmlns:a16="http://schemas.microsoft.com/office/drawing/2014/main" pred="{6EEC6808-18F6-DC0F-15E0-7557A72EA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40600" y="6915150"/>
          <a:ext cx="647700" cy="695325"/>
        </a:xfrm>
        <a:prstGeom prst="rect">
          <a:avLst/>
        </a:prstGeom>
      </xdr:spPr>
    </xdr:pic>
    <xdr:clientData/>
  </xdr:twoCellAnchor>
  <xdr:twoCellAnchor editAs="oneCell">
    <xdr:from>
      <xdr:col>34</xdr:col>
      <xdr:colOff>1724025</xdr:colOff>
      <xdr:row>22</xdr:row>
      <xdr:rowOff>142875</xdr:rowOff>
    </xdr:from>
    <xdr:to>
      <xdr:col>34</xdr:col>
      <xdr:colOff>2314575</xdr:colOff>
      <xdr:row>25</xdr:row>
      <xdr:rowOff>104775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B5C9305-AF2F-CFD7-6476-4BE16D23DC12}"/>
            </a:ext>
            <a:ext uri="{147F2762-F138-4A5C-976F-8EAC2B608ADB}">
              <a16:predDERef xmlns:a16="http://schemas.microsoft.com/office/drawing/2014/main" pred="{BB71919C-1BA9-5CCD-617A-642237DF2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73039">
          <a:off x="20097750" y="7953375"/>
          <a:ext cx="590550" cy="762000"/>
        </a:xfrm>
        <a:prstGeom prst="rect">
          <a:avLst/>
        </a:prstGeom>
      </xdr:spPr>
    </xdr:pic>
    <xdr:clientData/>
  </xdr:twoCellAnchor>
  <xdr:twoCellAnchor editAs="oneCell">
    <xdr:from>
      <xdr:col>6</xdr:col>
      <xdr:colOff>627460</xdr:colOff>
      <xdr:row>22</xdr:row>
      <xdr:rowOff>173831</xdr:rowOff>
    </xdr:from>
    <xdr:to>
      <xdr:col>11</xdr:col>
      <xdr:colOff>370285</xdr:colOff>
      <xdr:row>25</xdr:row>
      <xdr:rowOff>105966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9413DC8-F619-C6E1-6957-3F40C9DB5E03}"/>
            </a:ext>
            <a:ext uri="{147F2762-F138-4A5C-976F-8EAC2B608ADB}">
              <a16:predDERef xmlns:a16="http://schemas.microsoft.com/office/drawing/2014/main" pred="{1B5C9305-AF2F-CFD7-6476-4BE16D23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63351" y="8192690"/>
          <a:ext cx="772715" cy="735807"/>
        </a:xfrm>
        <a:prstGeom prst="rect">
          <a:avLst/>
        </a:prstGeom>
      </xdr:spPr>
    </xdr:pic>
    <xdr:clientData/>
  </xdr:twoCellAnchor>
  <xdr:twoCellAnchor editAs="oneCell">
    <xdr:from>
      <xdr:col>34</xdr:col>
      <xdr:colOff>1743075</xdr:colOff>
      <xdr:row>11</xdr:row>
      <xdr:rowOff>171450</xdr:rowOff>
    </xdr:from>
    <xdr:to>
      <xdr:col>34</xdr:col>
      <xdr:colOff>2286000</xdr:colOff>
      <xdr:row>11</xdr:row>
      <xdr:rowOff>847725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03D2607-2776-827D-48E1-1B489EC7A7E3}"/>
            </a:ext>
            <a:ext uri="{147F2762-F138-4A5C-976F-8EAC2B608ADB}">
              <a16:predDERef xmlns:a16="http://schemas.microsoft.com/office/drawing/2014/main" pred="{69413DC8-F619-C6E1-6957-3F40C9DB5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13145" r="3193"/>
        <a:stretch/>
      </xdr:blipFill>
      <xdr:spPr>
        <a:xfrm>
          <a:off x="20116800" y="4410075"/>
          <a:ext cx="542925" cy="676275"/>
        </a:xfrm>
        <a:prstGeom prst="rect">
          <a:avLst/>
        </a:prstGeom>
      </xdr:spPr>
    </xdr:pic>
    <xdr:clientData/>
  </xdr:twoCellAnchor>
  <xdr:twoCellAnchor editAs="oneCell">
    <xdr:from>
      <xdr:col>34</xdr:col>
      <xdr:colOff>1781175</xdr:colOff>
      <xdr:row>15</xdr:row>
      <xdr:rowOff>95250</xdr:rowOff>
    </xdr:from>
    <xdr:to>
      <xdr:col>34</xdr:col>
      <xdr:colOff>2276475</xdr:colOff>
      <xdr:row>17</xdr:row>
      <xdr:rowOff>104775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22C1C2C-4BCD-C013-DA7D-5AC8C41E4F6D}"/>
            </a:ext>
            <a:ext uri="{147F2762-F138-4A5C-976F-8EAC2B608ADB}">
              <a16:predDERef xmlns:a16="http://schemas.microsoft.com/office/drawing/2014/main" pred="{703D2607-2776-827D-48E1-1B489EC7A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154900" y="6038850"/>
          <a:ext cx="495300" cy="542925"/>
        </a:xfrm>
        <a:prstGeom prst="rect">
          <a:avLst/>
        </a:prstGeom>
      </xdr:spPr>
    </xdr:pic>
    <xdr:clientData/>
  </xdr:twoCellAnchor>
  <xdr:twoCellAnchor editAs="oneCell">
    <xdr:from>
      <xdr:col>34</xdr:col>
      <xdr:colOff>1638300</xdr:colOff>
      <xdr:row>11</xdr:row>
      <xdr:rowOff>876300</xdr:rowOff>
    </xdr:from>
    <xdr:to>
      <xdr:col>34</xdr:col>
      <xdr:colOff>2362200</xdr:colOff>
      <xdr:row>14</xdr:row>
      <xdr:rowOff>161925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506534F-C96C-E500-6CFA-776A3692AFCC}"/>
            </a:ext>
            <a:ext uri="{147F2762-F138-4A5C-976F-8EAC2B608ADB}">
              <a16:predDERef xmlns:a16="http://schemas.microsoft.com/office/drawing/2014/main" pred="{E22C1C2C-4BCD-C013-DA7D-5AC8C41E4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012025" y="5114925"/>
          <a:ext cx="723900" cy="723900"/>
        </a:xfrm>
        <a:prstGeom prst="rect">
          <a:avLst/>
        </a:prstGeom>
      </xdr:spPr>
    </xdr:pic>
    <xdr:clientData/>
  </xdr:twoCellAnchor>
  <xdr:twoCellAnchor>
    <xdr:from>
      <xdr:col>5</xdr:col>
      <xdr:colOff>282908</xdr:colOff>
      <xdr:row>11</xdr:row>
      <xdr:rowOff>228600</xdr:rowOff>
    </xdr:from>
    <xdr:to>
      <xdr:col>5</xdr:col>
      <xdr:colOff>768683</xdr:colOff>
      <xdr:row>11</xdr:row>
      <xdr:rowOff>695325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49D04E0-0FB0-662C-9371-13676CE58608}"/>
            </a:ext>
            <a:ext uri="{147F2762-F138-4A5C-976F-8EAC2B608ADB}">
              <a16:predDERef xmlns:a16="http://schemas.microsoft.com/office/drawing/2014/main" pred="{5506534F-C96C-E500-6CFA-776A3692AFCC}"/>
            </a:ext>
          </a:extLst>
        </xdr:cNvPr>
        <xdr:cNvSpPr/>
      </xdr:nvSpPr>
      <xdr:spPr>
        <a:xfrm>
          <a:off x="9907299" y="4651513"/>
          <a:ext cx="485775" cy="4667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281666</xdr:colOff>
      <xdr:row>13</xdr:row>
      <xdr:rowOff>200025</xdr:rowOff>
    </xdr:from>
    <xdr:to>
      <xdr:col>5</xdr:col>
      <xdr:colOff>767441</xdr:colOff>
      <xdr:row>15</xdr:row>
      <xdr:rowOff>133350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8EB284CF-EDC0-4B03-8016-A801FD7D1430}"/>
            </a:ext>
            <a:ext uri="{147F2762-F138-4A5C-976F-8EAC2B608ADB}">
              <a16:predDERef xmlns:a16="http://schemas.microsoft.com/office/drawing/2014/main" pred="{E49D04E0-0FB0-662C-9371-13676CE58608}"/>
            </a:ext>
          </a:extLst>
        </xdr:cNvPr>
        <xdr:cNvSpPr/>
      </xdr:nvSpPr>
      <xdr:spPr>
        <a:xfrm>
          <a:off x="9235166" y="5833382"/>
          <a:ext cx="485775" cy="477611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273383</xdr:colOff>
      <xdr:row>17</xdr:row>
      <xdr:rowOff>180975</xdr:rowOff>
    </xdr:from>
    <xdr:to>
      <xdr:col>5</xdr:col>
      <xdr:colOff>759158</xdr:colOff>
      <xdr:row>19</xdr:row>
      <xdr:rowOff>114300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D56177F-08C5-4CB8-B770-F2617FB32A1C}"/>
            </a:ext>
            <a:ext uri="{147F2762-F138-4A5C-976F-8EAC2B608ADB}">
              <a16:predDERef xmlns:a16="http://schemas.microsoft.com/office/drawing/2014/main" pred="{8EB284CF-EDC0-4B03-8016-A801FD7D1430}"/>
            </a:ext>
          </a:extLst>
        </xdr:cNvPr>
        <xdr:cNvSpPr/>
      </xdr:nvSpPr>
      <xdr:spPr>
        <a:xfrm>
          <a:off x="9897774" y="6831910"/>
          <a:ext cx="485775" cy="463412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272141</xdr:colOff>
      <xdr:row>22</xdr:row>
      <xdr:rowOff>180975</xdr:rowOff>
    </xdr:from>
    <xdr:to>
      <xdr:col>5</xdr:col>
      <xdr:colOff>757916</xdr:colOff>
      <xdr:row>24</xdr:row>
      <xdr:rowOff>114300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C702FF49-B398-4FE3-86EB-379446EAC9CF}"/>
            </a:ext>
            <a:ext uri="{147F2762-F138-4A5C-976F-8EAC2B608ADB}">
              <a16:predDERef xmlns:a16="http://schemas.microsoft.com/office/drawing/2014/main" pred="{0D56177F-08C5-4CB8-B770-F2617FB32A1C}"/>
            </a:ext>
          </a:extLst>
        </xdr:cNvPr>
        <xdr:cNvSpPr/>
      </xdr:nvSpPr>
      <xdr:spPr>
        <a:xfrm>
          <a:off x="9225641" y="8263618"/>
          <a:ext cx="485775" cy="477611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476250</xdr:colOff>
      <xdr:row>11</xdr:row>
      <xdr:rowOff>219075</xdr:rowOff>
    </xdr:from>
    <xdr:to>
      <xdr:col>33</xdr:col>
      <xdr:colOff>962025</xdr:colOff>
      <xdr:row>11</xdr:row>
      <xdr:rowOff>685800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D84B988-9357-4D06-B390-44A1436464AD}"/>
            </a:ext>
            <a:ext uri="{147F2762-F138-4A5C-976F-8EAC2B608ADB}">
              <a16:predDERef xmlns:a16="http://schemas.microsoft.com/office/drawing/2014/main" pred="{C702FF49-B398-4FE3-86EB-379446EAC9CF}"/>
            </a:ext>
          </a:extLst>
        </xdr:cNvPr>
        <xdr:cNvSpPr/>
      </xdr:nvSpPr>
      <xdr:spPr>
        <a:xfrm>
          <a:off x="17659350" y="4457700"/>
          <a:ext cx="485775" cy="4667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476250</xdr:colOff>
      <xdr:row>12</xdr:row>
      <xdr:rowOff>85725</xdr:rowOff>
    </xdr:from>
    <xdr:to>
      <xdr:col>33</xdr:col>
      <xdr:colOff>962025</xdr:colOff>
      <xdr:row>14</xdr:row>
      <xdr:rowOff>19050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1DE651D-6110-4720-8F5E-0BCDEDD003E8}"/>
            </a:ext>
            <a:ext uri="{147F2762-F138-4A5C-976F-8EAC2B608ADB}">
              <a16:predDERef xmlns:a16="http://schemas.microsoft.com/office/drawing/2014/main" pred="{2D84B988-9357-4D06-B390-44A1436464AD}"/>
            </a:ext>
          </a:extLst>
        </xdr:cNvPr>
        <xdr:cNvSpPr/>
      </xdr:nvSpPr>
      <xdr:spPr>
        <a:xfrm>
          <a:off x="17659350" y="5419725"/>
          <a:ext cx="485775" cy="4667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482152</xdr:colOff>
      <xdr:row>15</xdr:row>
      <xdr:rowOff>104775</xdr:rowOff>
    </xdr:from>
    <xdr:to>
      <xdr:col>33</xdr:col>
      <xdr:colOff>967927</xdr:colOff>
      <xdr:row>17</xdr:row>
      <xdr:rowOff>38100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2A63F8F-61AF-4BD5-A8A5-77E96F6585A4}"/>
            </a:ext>
            <a:ext uri="{147F2762-F138-4A5C-976F-8EAC2B608ADB}">
              <a16:predDERef xmlns:a16="http://schemas.microsoft.com/office/drawing/2014/main" pred="{31DE651D-6110-4720-8F5E-0BCDEDD003E8}"/>
            </a:ext>
          </a:extLst>
        </xdr:cNvPr>
        <xdr:cNvSpPr/>
      </xdr:nvSpPr>
      <xdr:spPr>
        <a:xfrm>
          <a:off x="18968935" y="6225623"/>
          <a:ext cx="485775" cy="463412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483291</xdr:colOff>
      <xdr:row>18</xdr:row>
      <xdr:rowOff>247650</xdr:rowOff>
    </xdr:from>
    <xdr:to>
      <xdr:col>33</xdr:col>
      <xdr:colOff>969066</xdr:colOff>
      <xdr:row>20</xdr:row>
      <xdr:rowOff>180975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3059DEE-D50C-4362-9D77-53BD51710F3F}"/>
            </a:ext>
            <a:ext uri="{147F2762-F138-4A5C-976F-8EAC2B608ADB}">
              <a16:predDERef xmlns:a16="http://schemas.microsoft.com/office/drawing/2014/main" pred="{F2A63F8F-61AF-4BD5-A8A5-77E96F6585A4}"/>
            </a:ext>
          </a:extLst>
        </xdr:cNvPr>
        <xdr:cNvSpPr/>
      </xdr:nvSpPr>
      <xdr:spPr>
        <a:xfrm>
          <a:off x="18970074" y="7163628"/>
          <a:ext cx="485775" cy="463412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482101</xdr:colOff>
      <xdr:row>22</xdr:row>
      <xdr:rowOff>209550</xdr:rowOff>
    </xdr:from>
    <xdr:to>
      <xdr:col>33</xdr:col>
      <xdr:colOff>967876</xdr:colOff>
      <xdr:row>24</xdr:row>
      <xdr:rowOff>142875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2592562-56B6-42D1-82B4-293933960FE7}"/>
            </a:ext>
            <a:ext uri="{147F2762-F138-4A5C-976F-8EAC2B608ADB}">
              <a16:predDERef xmlns:a16="http://schemas.microsoft.com/office/drawing/2014/main" pred="{F3059DEE-D50C-4362-9D77-53BD51710F3F}"/>
            </a:ext>
          </a:extLst>
        </xdr:cNvPr>
        <xdr:cNvSpPr/>
      </xdr:nvSpPr>
      <xdr:spPr>
        <a:xfrm>
          <a:off x="18968884" y="8185702"/>
          <a:ext cx="485775" cy="463412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366342</xdr:colOff>
      <xdr:row>11</xdr:row>
      <xdr:rowOff>211015</xdr:rowOff>
    </xdr:from>
    <xdr:to>
      <xdr:col>38</xdr:col>
      <xdr:colOff>852117</xdr:colOff>
      <xdr:row>11</xdr:row>
      <xdr:rowOff>677740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E12318FD-868E-4668-9C47-EDF7DC0C12F5}"/>
            </a:ext>
            <a:ext uri="{147F2762-F138-4A5C-976F-8EAC2B608ADB}">
              <a16:predDERef xmlns:a16="http://schemas.microsoft.com/office/drawing/2014/main" pred="{92592562-56B6-42D1-82B4-293933960FE7}"/>
            </a:ext>
          </a:extLst>
        </xdr:cNvPr>
        <xdr:cNvSpPr/>
      </xdr:nvSpPr>
      <xdr:spPr>
        <a:xfrm>
          <a:off x="26165485" y="4660551"/>
          <a:ext cx="485775" cy="4667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375867</xdr:colOff>
      <xdr:row>12</xdr:row>
      <xdr:rowOff>31506</xdr:rowOff>
    </xdr:from>
    <xdr:to>
      <xdr:col>38</xdr:col>
      <xdr:colOff>861642</xdr:colOff>
      <xdr:row>13</xdr:row>
      <xdr:rowOff>231531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7747DA7-ED26-4C7E-9F0B-32B65856FCBC}"/>
            </a:ext>
            <a:ext uri="{147F2762-F138-4A5C-976F-8EAC2B608ADB}">
              <a16:predDERef xmlns:a16="http://schemas.microsoft.com/office/drawing/2014/main" pred="{E12318FD-868E-4668-9C47-EDF7DC0C12F5}"/>
            </a:ext>
          </a:extLst>
        </xdr:cNvPr>
        <xdr:cNvSpPr/>
      </xdr:nvSpPr>
      <xdr:spPr>
        <a:xfrm>
          <a:off x="26175010" y="5392720"/>
          <a:ext cx="485775" cy="472168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375867</xdr:colOff>
      <xdr:row>15</xdr:row>
      <xdr:rowOff>33704</xdr:rowOff>
    </xdr:from>
    <xdr:to>
      <xdr:col>38</xdr:col>
      <xdr:colOff>861642</xdr:colOff>
      <xdr:row>16</xdr:row>
      <xdr:rowOff>230799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E7082C1-9BEF-4019-AACC-D0261A9FB536}"/>
            </a:ext>
            <a:ext uri="{147F2762-F138-4A5C-976F-8EAC2B608ADB}">
              <a16:predDERef xmlns:a16="http://schemas.microsoft.com/office/drawing/2014/main" pred="{77747DA7-ED26-4C7E-9F0B-32B65856FCBC}"/>
            </a:ext>
          </a:extLst>
        </xdr:cNvPr>
        <xdr:cNvSpPr/>
      </xdr:nvSpPr>
      <xdr:spPr>
        <a:xfrm>
          <a:off x="26175010" y="6211347"/>
          <a:ext cx="485775" cy="469238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372188</xdr:colOff>
      <xdr:row>19</xdr:row>
      <xdr:rowOff>34437</xdr:rowOff>
    </xdr:from>
    <xdr:to>
      <xdr:col>38</xdr:col>
      <xdr:colOff>857963</xdr:colOff>
      <xdr:row>20</xdr:row>
      <xdr:rowOff>231532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A5E71B0E-A46E-492E-AA7C-5AE2AD6F1C7D}"/>
            </a:ext>
            <a:ext uri="{147F2762-F138-4A5C-976F-8EAC2B608ADB}">
              <a16:predDERef xmlns:a16="http://schemas.microsoft.com/office/drawing/2014/main" pred="{EE7082C1-9BEF-4019-AACC-D0261A9FB536}"/>
            </a:ext>
          </a:extLst>
        </xdr:cNvPr>
        <xdr:cNvSpPr/>
      </xdr:nvSpPr>
      <xdr:spPr>
        <a:xfrm>
          <a:off x="28110645" y="7215459"/>
          <a:ext cx="485775" cy="462138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373430</xdr:colOff>
      <xdr:row>23</xdr:row>
      <xdr:rowOff>41031</xdr:rowOff>
    </xdr:from>
    <xdr:to>
      <xdr:col>38</xdr:col>
      <xdr:colOff>859205</xdr:colOff>
      <xdr:row>24</xdr:row>
      <xdr:rowOff>238126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DC97EE34-382B-47D5-A263-2897D525AD0E}"/>
            </a:ext>
            <a:ext uri="{147F2762-F138-4A5C-976F-8EAC2B608ADB}">
              <a16:predDERef xmlns:a16="http://schemas.microsoft.com/office/drawing/2014/main" pred="{A5E71B0E-A46E-492E-AA7C-5AE2AD6F1C7D}"/>
            </a:ext>
          </a:extLst>
        </xdr:cNvPr>
        <xdr:cNvSpPr/>
      </xdr:nvSpPr>
      <xdr:spPr>
        <a:xfrm>
          <a:off x="28111887" y="8282227"/>
          <a:ext cx="485775" cy="462138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3076575</xdr:colOff>
      <xdr:row>53</xdr:row>
      <xdr:rowOff>104016</xdr:rowOff>
    </xdr:from>
    <xdr:to>
      <xdr:col>4</xdr:col>
      <xdr:colOff>3371850</xdr:colOff>
      <xdr:row>53</xdr:row>
      <xdr:rowOff>361191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9B79F02A-4ACD-4654-B94E-E1578642AD7C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7774132" y="24695834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3076574</xdr:colOff>
      <xdr:row>54</xdr:row>
      <xdr:rowOff>95897</xdr:rowOff>
    </xdr:from>
    <xdr:to>
      <xdr:col>4</xdr:col>
      <xdr:colOff>3371849</xdr:colOff>
      <xdr:row>54</xdr:row>
      <xdr:rowOff>353072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049F016-1AEB-60DD-613B-DFDD151AE7CE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7774131" y="25146647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3078524</xdr:colOff>
      <xdr:row>55</xdr:row>
      <xdr:rowOff>98928</xdr:rowOff>
    </xdr:from>
    <xdr:to>
      <xdr:col>4</xdr:col>
      <xdr:colOff>3373799</xdr:colOff>
      <xdr:row>55</xdr:row>
      <xdr:rowOff>356103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E778FA1-68F2-4F9C-BD3A-AFCF9389BE24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7776081" y="2560861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3075816</xdr:colOff>
      <xdr:row>56</xdr:row>
      <xdr:rowOff>102713</xdr:rowOff>
    </xdr:from>
    <xdr:to>
      <xdr:col>4</xdr:col>
      <xdr:colOff>3371091</xdr:colOff>
      <xdr:row>56</xdr:row>
      <xdr:rowOff>359888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6A34D2-3A4F-4BBC-B0EA-87F89CF5BB7A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7773373" y="26071327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3079391</xdr:colOff>
      <xdr:row>57</xdr:row>
      <xdr:rowOff>99794</xdr:rowOff>
    </xdr:from>
    <xdr:to>
      <xdr:col>4</xdr:col>
      <xdr:colOff>3374666</xdr:colOff>
      <xdr:row>57</xdr:row>
      <xdr:rowOff>356969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4201DD9-A7F7-49FA-A916-1938A1D7E10C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7776948" y="26527339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3076683</xdr:colOff>
      <xdr:row>58</xdr:row>
      <xdr:rowOff>103579</xdr:rowOff>
    </xdr:from>
    <xdr:to>
      <xdr:col>4</xdr:col>
      <xdr:colOff>3371958</xdr:colOff>
      <xdr:row>58</xdr:row>
      <xdr:rowOff>360754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1FF5AC4-D1F6-4F45-AF32-706DF300A709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7774240" y="26990056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3079391</xdr:colOff>
      <xdr:row>58</xdr:row>
      <xdr:rowOff>103579</xdr:rowOff>
    </xdr:from>
    <xdr:to>
      <xdr:col>4</xdr:col>
      <xdr:colOff>3374666</xdr:colOff>
      <xdr:row>58</xdr:row>
      <xdr:rowOff>360754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D9F50F8-B890-49E7-94DB-D2AB4CBE0C47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7776948" y="26990056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3076683</xdr:colOff>
      <xdr:row>59</xdr:row>
      <xdr:rowOff>103034</xdr:rowOff>
    </xdr:from>
    <xdr:to>
      <xdr:col>4</xdr:col>
      <xdr:colOff>3371958</xdr:colOff>
      <xdr:row>59</xdr:row>
      <xdr:rowOff>360209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ACD6631-3C91-4B7F-A318-7357304A52AF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7774240" y="27448443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24245</xdr:colOff>
      <xdr:row>53</xdr:row>
      <xdr:rowOff>104013</xdr:rowOff>
    </xdr:from>
    <xdr:to>
      <xdr:col>11</xdr:col>
      <xdr:colOff>319520</xdr:colOff>
      <xdr:row>53</xdr:row>
      <xdr:rowOff>361188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637E5C4-65E6-7FC0-605C-668518E81B92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1991109" y="24695831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24245</xdr:colOff>
      <xdr:row>54</xdr:row>
      <xdr:rowOff>104010</xdr:rowOff>
    </xdr:from>
    <xdr:to>
      <xdr:col>11</xdr:col>
      <xdr:colOff>319520</xdr:colOff>
      <xdr:row>54</xdr:row>
      <xdr:rowOff>361185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A2C54EA-6019-8CFA-72D1-3C859C83FE79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1991109" y="2515476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25111</xdr:colOff>
      <xdr:row>55</xdr:row>
      <xdr:rowOff>104877</xdr:rowOff>
    </xdr:from>
    <xdr:to>
      <xdr:col>11</xdr:col>
      <xdr:colOff>320386</xdr:colOff>
      <xdr:row>55</xdr:row>
      <xdr:rowOff>362052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F36C1D6-777A-4C07-89F0-C9B5BD2AF272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1991975" y="25614559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25111</xdr:colOff>
      <xdr:row>56</xdr:row>
      <xdr:rowOff>104874</xdr:rowOff>
    </xdr:from>
    <xdr:to>
      <xdr:col>11</xdr:col>
      <xdr:colOff>320386</xdr:colOff>
      <xdr:row>56</xdr:row>
      <xdr:rowOff>362049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82256D8-E927-447C-9878-9FBC243ED51C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1991975" y="26073488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25977</xdr:colOff>
      <xdr:row>57</xdr:row>
      <xdr:rowOff>103910</xdr:rowOff>
    </xdr:from>
    <xdr:to>
      <xdr:col>11</xdr:col>
      <xdr:colOff>321252</xdr:colOff>
      <xdr:row>57</xdr:row>
      <xdr:rowOff>361085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69C0E85-4586-43D1-9EFE-223A2F00B757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1992841" y="2653145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25977</xdr:colOff>
      <xdr:row>58</xdr:row>
      <xdr:rowOff>103907</xdr:rowOff>
    </xdr:from>
    <xdr:to>
      <xdr:col>11</xdr:col>
      <xdr:colOff>321252</xdr:colOff>
      <xdr:row>58</xdr:row>
      <xdr:rowOff>361082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109B2F2-F266-4300-96B4-76499E1F5293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1992841" y="26990384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29685</xdr:colOff>
      <xdr:row>53</xdr:row>
      <xdr:rowOff>114898</xdr:rowOff>
    </xdr:from>
    <xdr:to>
      <xdr:col>32</xdr:col>
      <xdr:colOff>324960</xdr:colOff>
      <xdr:row>53</xdr:row>
      <xdr:rowOff>372073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9F70D5B-7DB9-C52F-F570-736AABF2F5F0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6472556" y="24662184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29685</xdr:colOff>
      <xdr:row>54</xdr:row>
      <xdr:rowOff>114895</xdr:rowOff>
    </xdr:from>
    <xdr:to>
      <xdr:col>32</xdr:col>
      <xdr:colOff>324960</xdr:colOff>
      <xdr:row>54</xdr:row>
      <xdr:rowOff>372070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D871864-C5CB-43B3-222C-0635BBFA0D55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6472556" y="25119381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30551</xdr:colOff>
      <xdr:row>55</xdr:row>
      <xdr:rowOff>115762</xdr:rowOff>
    </xdr:from>
    <xdr:to>
      <xdr:col>32</xdr:col>
      <xdr:colOff>325826</xdr:colOff>
      <xdr:row>55</xdr:row>
      <xdr:rowOff>372937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D186F48-1D18-4A04-49F2-736BD4EFC10E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6473422" y="25577448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30551</xdr:colOff>
      <xdr:row>56</xdr:row>
      <xdr:rowOff>115759</xdr:rowOff>
    </xdr:from>
    <xdr:to>
      <xdr:col>32</xdr:col>
      <xdr:colOff>325826</xdr:colOff>
      <xdr:row>56</xdr:row>
      <xdr:rowOff>372934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9C0267C-F362-F89A-22CC-797B5F604AAC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6473422" y="2603464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31417</xdr:colOff>
      <xdr:row>57</xdr:row>
      <xdr:rowOff>114795</xdr:rowOff>
    </xdr:from>
    <xdr:to>
      <xdr:col>32</xdr:col>
      <xdr:colOff>326692</xdr:colOff>
      <xdr:row>57</xdr:row>
      <xdr:rowOff>371970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C0A9BA5-E2E9-9EB9-B6FF-7409B02F7809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6474288" y="26490881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31417</xdr:colOff>
      <xdr:row>58</xdr:row>
      <xdr:rowOff>114792</xdr:rowOff>
    </xdr:from>
    <xdr:to>
      <xdr:col>32</xdr:col>
      <xdr:colOff>326692</xdr:colOff>
      <xdr:row>58</xdr:row>
      <xdr:rowOff>371967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543AE22-C9F1-AAA8-B4B4-511F07FF7041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6474288" y="26948078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31417</xdr:colOff>
      <xdr:row>59</xdr:row>
      <xdr:rowOff>103906</xdr:rowOff>
    </xdr:from>
    <xdr:to>
      <xdr:col>32</xdr:col>
      <xdr:colOff>326692</xdr:colOff>
      <xdr:row>59</xdr:row>
      <xdr:rowOff>361081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E371F4C-2E84-1C50-53F2-EA1A06748DC9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16474288" y="27394392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29684</xdr:colOff>
      <xdr:row>53</xdr:row>
      <xdr:rowOff>109455</xdr:rowOff>
    </xdr:from>
    <xdr:to>
      <xdr:col>35</xdr:col>
      <xdr:colOff>324959</xdr:colOff>
      <xdr:row>53</xdr:row>
      <xdr:rowOff>366630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0655614-F1B0-4980-931D-DA5C14C2AB9B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1142527" y="24656741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29684</xdr:colOff>
      <xdr:row>54</xdr:row>
      <xdr:rowOff>109452</xdr:rowOff>
    </xdr:from>
    <xdr:to>
      <xdr:col>35</xdr:col>
      <xdr:colOff>324959</xdr:colOff>
      <xdr:row>54</xdr:row>
      <xdr:rowOff>366627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4F1FEAE-83CA-476E-AE0F-6AD27ACB07C8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1142527" y="25113938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30550</xdr:colOff>
      <xdr:row>55</xdr:row>
      <xdr:rowOff>110319</xdr:rowOff>
    </xdr:from>
    <xdr:to>
      <xdr:col>35</xdr:col>
      <xdr:colOff>325825</xdr:colOff>
      <xdr:row>55</xdr:row>
      <xdr:rowOff>367494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670A50B5-27D5-43D8-82E9-E5A28D117473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1143393" y="2557200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30550</xdr:colOff>
      <xdr:row>56</xdr:row>
      <xdr:rowOff>110316</xdr:rowOff>
    </xdr:from>
    <xdr:to>
      <xdr:col>35</xdr:col>
      <xdr:colOff>325825</xdr:colOff>
      <xdr:row>56</xdr:row>
      <xdr:rowOff>367491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0721EC4-CDA7-48C7-9E96-5FD451965561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1143393" y="26029202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31416</xdr:colOff>
      <xdr:row>57</xdr:row>
      <xdr:rowOff>109352</xdr:rowOff>
    </xdr:from>
    <xdr:to>
      <xdr:col>35</xdr:col>
      <xdr:colOff>326691</xdr:colOff>
      <xdr:row>57</xdr:row>
      <xdr:rowOff>366527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18ACC18F-493A-4EC4-9A1C-B2535DC6D9E0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1144259" y="26485438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31416</xdr:colOff>
      <xdr:row>58</xdr:row>
      <xdr:rowOff>109349</xdr:rowOff>
    </xdr:from>
    <xdr:to>
      <xdr:col>35</xdr:col>
      <xdr:colOff>326691</xdr:colOff>
      <xdr:row>58</xdr:row>
      <xdr:rowOff>366524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36D9C91F-CBCD-42A2-AE25-FEECE9FFA500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1144259" y="2694263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31416</xdr:colOff>
      <xdr:row>59</xdr:row>
      <xdr:rowOff>98463</xdr:rowOff>
    </xdr:from>
    <xdr:to>
      <xdr:col>35</xdr:col>
      <xdr:colOff>326691</xdr:colOff>
      <xdr:row>59</xdr:row>
      <xdr:rowOff>355638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230DB50-2FF2-4AEF-AF1A-CE0B74A7E833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1144259" y="27388949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29765</xdr:colOff>
      <xdr:row>53</xdr:row>
      <xdr:rowOff>107157</xdr:rowOff>
    </xdr:from>
    <xdr:to>
      <xdr:col>38</xdr:col>
      <xdr:colOff>325040</xdr:colOff>
      <xdr:row>53</xdr:row>
      <xdr:rowOff>364332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F68A627-D5C9-4706-9DB4-6853CB4EA0F5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5818703" y="24675704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29765</xdr:colOff>
      <xdr:row>54</xdr:row>
      <xdr:rowOff>107154</xdr:rowOff>
    </xdr:from>
    <xdr:to>
      <xdr:col>38</xdr:col>
      <xdr:colOff>325040</xdr:colOff>
      <xdr:row>54</xdr:row>
      <xdr:rowOff>364329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87AC3A8-F9AE-4B30-AF80-60EA802C3F30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5818703" y="25134092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30631</xdr:colOff>
      <xdr:row>55</xdr:row>
      <xdr:rowOff>108021</xdr:rowOff>
    </xdr:from>
    <xdr:to>
      <xdr:col>38</xdr:col>
      <xdr:colOff>325906</xdr:colOff>
      <xdr:row>55</xdr:row>
      <xdr:rowOff>365196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1EDC722-7910-450B-8D8E-D5A24A91ED92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5819569" y="25593349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29765</xdr:colOff>
      <xdr:row>56</xdr:row>
      <xdr:rowOff>101203</xdr:rowOff>
    </xdr:from>
    <xdr:to>
      <xdr:col>38</xdr:col>
      <xdr:colOff>325040</xdr:colOff>
      <xdr:row>56</xdr:row>
      <xdr:rowOff>358378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ED64675-57C7-47C7-A56F-D8B064FEC03D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5818703" y="26044922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30631</xdr:colOff>
      <xdr:row>57</xdr:row>
      <xdr:rowOff>102070</xdr:rowOff>
    </xdr:from>
    <xdr:to>
      <xdr:col>38</xdr:col>
      <xdr:colOff>325906</xdr:colOff>
      <xdr:row>57</xdr:row>
      <xdr:rowOff>359245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FF3BEFA-83DE-425C-99B1-DAD2DE7B2837}"/>
            </a:ext>
            <a:ext uri="{147F2762-F138-4A5C-976F-8EAC2B608ADB}">
              <a16:predDERef xmlns:a16="http://schemas.microsoft.com/office/drawing/2014/main" pred="{DC97EE34-382B-47D5-A263-2897D525AD0E}"/>
            </a:ext>
          </a:extLst>
        </xdr:cNvPr>
        <xdr:cNvSpPr/>
      </xdr:nvSpPr>
      <xdr:spPr>
        <a:xfrm>
          <a:off x="25819569" y="26504179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366342</xdr:colOff>
      <xdr:row>19</xdr:row>
      <xdr:rowOff>34437</xdr:rowOff>
    </xdr:from>
    <xdr:to>
      <xdr:col>38</xdr:col>
      <xdr:colOff>852117</xdr:colOff>
      <xdr:row>20</xdr:row>
      <xdr:rowOff>231532</xdr:rowOff>
    </xdr:to>
    <xdr:sp macro="" textlink="">
      <xdr:nvSpPr>
        <xdr:cNvPr id="191" name="Rectangle 190">
          <a:extLst>
            <a:ext uri="{FF2B5EF4-FFF2-40B4-BE49-F238E27FC236}">
              <a16:creationId xmlns:a16="http://schemas.microsoft.com/office/drawing/2014/main" id="{E4F74D6C-9716-4281-9311-44DF4690D0F1}"/>
            </a:ext>
            <a:ext uri="{147F2762-F138-4A5C-976F-8EAC2B608ADB}">
              <a16:predDERef xmlns:a16="http://schemas.microsoft.com/office/drawing/2014/main" pred="{EE7082C1-9BEF-4019-AACC-D0261A9FB536}"/>
            </a:ext>
          </a:extLst>
        </xdr:cNvPr>
        <xdr:cNvSpPr/>
      </xdr:nvSpPr>
      <xdr:spPr>
        <a:xfrm>
          <a:off x="28084092" y="7235337"/>
          <a:ext cx="485775" cy="46379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0</xdr:col>
      <xdr:colOff>238126</xdr:colOff>
      <xdr:row>11</xdr:row>
      <xdr:rowOff>111919</xdr:rowOff>
    </xdr:from>
    <xdr:to>
      <xdr:col>0</xdr:col>
      <xdr:colOff>892970</xdr:colOff>
      <xdr:row>11</xdr:row>
      <xdr:rowOff>769322</xdr:rowOff>
    </xdr:to>
    <xdr:pic>
      <xdr:nvPicPr>
        <xdr:cNvPr id="2" name="Picture 1" descr="Cutting welding: Más de 4,232 ilustraciones y dibujos de stock con licencia  libres de regalías | Shutterstock">
          <a:extLst>
            <a:ext uri="{FF2B5EF4-FFF2-40B4-BE49-F238E27FC236}">
              <a16:creationId xmlns:a16="http://schemas.microsoft.com/office/drawing/2014/main" id="{02B3FC93-9F8F-4B2E-AC6C-B4C5250B5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6" y="4541044"/>
          <a:ext cx="654844" cy="657403"/>
        </a:xfrm>
        <a:prstGeom prst="ellipse">
          <a:avLst/>
        </a:prstGeom>
        <a:ln w="9525" cap="rnd">
          <a:solidFill>
            <a:sysClr val="windowText" lastClr="0000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13</xdr:row>
      <xdr:rowOff>123825</xdr:rowOff>
    </xdr:from>
    <xdr:to>
      <xdr:col>0</xdr:col>
      <xdr:colOff>885825</xdr:colOff>
      <xdr:row>15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F311C7-0CCB-4625-BF2B-6C55CAEAFC6F}"/>
            </a:ext>
            <a:ext uri="{147F2762-F138-4A5C-976F-8EAC2B608ADB}">
              <a16:predDERef xmlns:a16="http://schemas.microsoft.com/office/drawing/2014/main" pred="{02B3FC93-9F8F-4B2E-AC6C-B4C5250B5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5724525"/>
          <a:ext cx="704850" cy="647700"/>
        </a:xfrm>
        <a:prstGeom prst="ellipse">
          <a:avLst/>
        </a:prstGeom>
        <a:ln w="635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155572</xdr:colOff>
      <xdr:row>17</xdr:row>
      <xdr:rowOff>126205</xdr:rowOff>
    </xdr:from>
    <xdr:to>
      <xdr:col>0</xdr:col>
      <xdr:colOff>865015</xdr:colOff>
      <xdr:row>19</xdr:row>
      <xdr:rowOff>239711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C061E6-B3F1-44B0-9D1B-FB3AC575A9BE}"/>
            </a:ext>
            <a:ext uri="{147F2762-F138-4A5C-976F-8EAC2B608ADB}">
              <a16:predDERef xmlns:a16="http://schemas.microsoft.com/office/drawing/2014/main" pred="{87F311C7-0CCB-4625-BF2B-6C55CAEAF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572" y="6793705"/>
          <a:ext cx="709443" cy="646906"/>
        </a:xfrm>
        <a:prstGeom prst="ellipse">
          <a:avLst/>
        </a:prstGeom>
        <a:ln w="952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0</xdr:col>
      <xdr:colOff>114300</xdr:colOff>
      <xdr:row>21</xdr:row>
      <xdr:rowOff>142875</xdr:rowOff>
    </xdr:from>
    <xdr:to>
      <xdr:col>0</xdr:col>
      <xdr:colOff>875532</xdr:colOff>
      <xdr:row>24</xdr:row>
      <xdr:rowOff>66675</xdr:rowOff>
    </xdr:to>
    <xdr:pic>
      <xdr:nvPicPr>
        <xdr:cNvPr id="5" name="Picture 4" descr="Icono del trabajador parado junto a: vector de stock (libre de regalías)  1947263959 | Shutterstock">
          <a:extLst>
            <a:ext uri="{FF2B5EF4-FFF2-40B4-BE49-F238E27FC236}">
              <a16:creationId xmlns:a16="http://schemas.microsoft.com/office/drawing/2014/main" id="{BD8A8467-0F1C-4624-BD2D-872FEFFF9CBF}"/>
            </a:ext>
            <a:ext uri="{147F2762-F138-4A5C-976F-8EAC2B608ADB}">
              <a16:predDERef xmlns:a16="http://schemas.microsoft.com/office/drawing/2014/main" pred="{7BC061E6-B3F1-44B0-9D1B-FB3AC575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877175"/>
          <a:ext cx="761232" cy="723900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273581</xdr:colOff>
      <xdr:row>72</xdr:row>
      <xdr:rowOff>446507</xdr:rowOff>
    </xdr:from>
    <xdr:to>
      <xdr:col>3</xdr:col>
      <xdr:colOff>916517</xdr:colOff>
      <xdr:row>81</xdr:row>
      <xdr:rowOff>70908</xdr:rowOff>
    </xdr:to>
    <xdr:pic>
      <xdr:nvPicPr>
        <xdr:cNvPr id="6" name="Picture 19" descr="Equipo De Protección Personal Requerido Símbolo De Seguridad De Ppe  Ilustración del Vector - Ilustración de seguro, pista: 181833845">
          <a:extLst>
            <a:ext uri="{FF2B5EF4-FFF2-40B4-BE49-F238E27FC236}">
              <a16:creationId xmlns:a16="http://schemas.microsoft.com/office/drawing/2014/main" id="{22A4C988-7140-4C6F-91C8-A178230A5E8B}"/>
            </a:ext>
            <a:ext uri="{147F2762-F138-4A5C-976F-8EAC2B608ADB}">
              <a16:predDERef xmlns:a16="http://schemas.microsoft.com/office/drawing/2014/main" pred="{BD8A8467-0F1C-4624-BD2D-872FEFFF9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581" y="24506657"/>
          <a:ext cx="3643311" cy="3739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619125</xdr:colOff>
      <xdr:row>10</xdr:row>
      <xdr:rowOff>104775</xdr:rowOff>
    </xdr:from>
    <xdr:to>
      <xdr:col>11</xdr:col>
      <xdr:colOff>466725</xdr:colOff>
      <xdr:row>11</xdr:row>
      <xdr:rowOff>685800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4F3615-B0F5-41D6-8250-4454A71EFBD4}"/>
            </a:ext>
            <a:ext uri="{147F2762-F138-4A5C-976F-8EAC2B608ADB}">
              <a16:predDERef xmlns:a16="http://schemas.microsoft.com/office/drawing/2014/main" pred="{22A4C988-7140-4C6F-91C8-A178230A5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53825" y="4267200"/>
          <a:ext cx="876300" cy="847725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11</xdr:row>
      <xdr:rowOff>742950</xdr:rowOff>
    </xdr:from>
    <xdr:to>
      <xdr:col>11</xdr:col>
      <xdr:colOff>323850</xdr:colOff>
      <xdr:row>14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90C201-10C2-462F-9228-BCB3A6FB7CAB}"/>
            </a:ext>
            <a:ext uri="{147F2762-F138-4A5C-976F-8EAC2B608ADB}">
              <a16:predDERef xmlns:a16="http://schemas.microsoft.com/office/drawing/2014/main" pred="{414F3615-B0F5-41D6-8250-4454A71EF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677650" y="5172075"/>
          <a:ext cx="609600" cy="723900"/>
        </a:xfrm>
        <a:prstGeom prst="rect">
          <a:avLst/>
        </a:prstGeom>
      </xdr:spPr>
    </xdr:pic>
    <xdr:clientData/>
  </xdr:twoCellAnchor>
  <xdr:twoCellAnchor editAs="oneCell">
    <xdr:from>
      <xdr:col>6</xdr:col>
      <xdr:colOff>752475</xdr:colOff>
      <xdr:row>15</xdr:row>
      <xdr:rowOff>0</xdr:rowOff>
    </xdr:from>
    <xdr:to>
      <xdr:col>11</xdr:col>
      <xdr:colOff>314325</xdr:colOff>
      <xdr:row>17</xdr:row>
      <xdr:rowOff>133350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1247A3-193C-4954-9A63-3EE8FBC26790}"/>
            </a:ext>
            <a:ext uri="{147F2762-F138-4A5C-976F-8EAC2B608ADB}">
              <a16:predDERef xmlns:a16="http://schemas.microsoft.com/office/drawing/2014/main" pred="{2990C201-10C2-462F-9228-BCB3A6FB7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87175" y="6134100"/>
          <a:ext cx="590550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18</xdr:row>
      <xdr:rowOff>104775</xdr:rowOff>
    </xdr:from>
    <xdr:to>
      <xdr:col>11</xdr:col>
      <xdr:colOff>447675</xdr:colOff>
      <xdr:row>21</xdr:row>
      <xdr:rowOff>47625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CA7AAE9D-C208-4F2E-9D6D-D1C9DBA7FAC9}"/>
            </a:ext>
            <a:ext uri="{147F2762-F138-4A5C-976F-8EAC2B608ADB}">
              <a16:predDERef xmlns:a16="http://schemas.microsoft.com/office/drawing/2014/main" pred="{641247A3-193C-4954-9A63-3EE8FBC26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82400" y="7038975"/>
          <a:ext cx="828675" cy="742950"/>
        </a:xfrm>
        <a:prstGeom prst="rect">
          <a:avLst/>
        </a:prstGeom>
      </xdr:spPr>
    </xdr:pic>
    <xdr:clientData/>
  </xdr:twoCellAnchor>
  <xdr:twoCellAnchor editAs="oneCell">
    <xdr:from>
      <xdr:col>34</xdr:col>
      <xdr:colOff>1666875</xdr:colOff>
      <xdr:row>18</xdr:row>
      <xdr:rowOff>171450</xdr:rowOff>
    </xdr:from>
    <xdr:to>
      <xdr:col>34</xdr:col>
      <xdr:colOff>2314575</xdr:colOff>
      <xdr:row>21</xdr:row>
      <xdr:rowOff>66675</xdr:rowOff>
    </xdr:to>
    <xdr:pic>
      <xdr:nvPicPr>
        <xdr:cNvPr id="11" name="Picture 24">
          <a:extLst>
            <a:ext uri="{FF2B5EF4-FFF2-40B4-BE49-F238E27FC236}">
              <a16:creationId xmlns:a16="http://schemas.microsoft.com/office/drawing/2014/main" id="{F9CA7D62-BCC8-4F90-87A2-8C1B4FCFB8F4}"/>
            </a:ext>
            <a:ext uri="{147F2762-F138-4A5C-976F-8EAC2B608ADB}">
              <a16:predDERef xmlns:a16="http://schemas.microsoft.com/office/drawing/2014/main" pred="{CA7AAE9D-C208-4F2E-9D6D-D1C9DBA7F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40600" y="7105650"/>
          <a:ext cx="647700" cy="695325"/>
        </a:xfrm>
        <a:prstGeom prst="rect">
          <a:avLst/>
        </a:prstGeom>
      </xdr:spPr>
    </xdr:pic>
    <xdr:clientData/>
  </xdr:twoCellAnchor>
  <xdr:twoCellAnchor editAs="oneCell">
    <xdr:from>
      <xdr:col>34</xdr:col>
      <xdr:colOff>1724025</xdr:colOff>
      <xdr:row>22</xdr:row>
      <xdr:rowOff>142875</xdr:rowOff>
    </xdr:from>
    <xdr:to>
      <xdr:col>34</xdr:col>
      <xdr:colOff>2314575</xdr:colOff>
      <xdr:row>25</xdr:row>
      <xdr:rowOff>104775</xdr:rowOff>
    </xdr:to>
    <xdr:pic>
      <xdr:nvPicPr>
        <xdr:cNvPr id="12" name="Picture 25">
          <a:extLst>
            <a:ext uri="{FF2B5EF4-FFF2-40B4-BE49-F238E27FC236}">
              <a16:creationId xmlns:a16="http://schemas.microsoft.com/office/drawing/2014/main" id="{A90045F9-809C-42A3-8DB5-39CB75BDF68E}"/>
            </a:ext>
            <a:ext uri="{147F2762-F138-4A5C-976F-8EAC2B608ADB}">
              <a16:predDERef xmlns:a16="http://schemas.microsoft.com/office/drawing/2014/main" pred="{F9CA7D62-BCC8-4F90-87A2-8C1B4FCFB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73039">
          <a:off x="20097750" y="8143875"/>
          <a:ext cx="590550" cy="762000"/>
        </a:xfrm>
        <a:prstGeom prst="rect">
          <a:avLst/>
        </a:prstGeom>
      </xdr:spPr>
    </xdr:pic>
    <xdr:clientData/>
  </xdr:twoCellAnchor>
  <xdr:twoCellAnchor editAs="oneCell">
    <xdr:from>
      <xdr:col>6</xdr:col>
      <xdr:colOff>657225</xdr:colOff>
      <xdr:row>22</xdr:row>
      <xdr:rowOff>19050</xdr:rowOff>
    </xdr:from>
    <xdr:to>
      <xdr:col>11</xdr:col>
      <xdr:colOff>400050</xdr:colOff>
      <xdr:row>24</xdr:row>
      <xdr:rowOff>219075</xdr:rowOff>
    </xdr:to>
    <xdr:pic>
      <xdr:nvPicPr>
        <xdr:cNvPr id="13" name="Picture 36">
          <a:extLst>
            <a:ext uri="{FF2B5EF4-FFF2-40B4-BE49-F238E27FC236}">
              <a16:creationId xmlns:a16="http://schemas.microsoft.com/office/drawing/2014/main" id="{F78D94A0-72D9-489C-9A52-0E524FB17F76}"/>
            </a:ext>
            <a:ext uri="{147F2762-F138-4A5C-976F-8EAC2B608ADB}">
              <a16:predDERef xmlns:a16="http://schemas.microsoft.com/office/drawing/2014/main" pred="{A90045F9-809C-42A3-8DB5-39CB75BD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91925" y="8020050"/>
          <a:ext cx="771525" cy="733425"/>
        </a:xfrm>
        <a:prstGeom prst="rect">
          <a:avLst/>
        </a:prstGeom>
      </xdr:spPr>
    </xdr:pic>
    <xdr:clientData/>
  </xdr:twoCellAnchor>
  <xdr:twoCellAnchor editAs="oneCell">
    <xdr:from>
      <xdr:col>34</xdr:col>
      <xdr:colOff>1743075</xdr:colOff>
      <xdr:row>11</xdr:row>
      <xdr:rowOff>171450</xdr:rowOff>
    </xdr:from>
    <xdr:to>
      <xdr:col>34</xdr:col>
      <xdr:colOff>2286000</xdr:colOff>
      <xdr:row>11</xdr:row>
      <xdr:rowOff>847725</xdr:rowOff>
    </xdr:to>
    <xdr:pic>
      <xdr:nvPicPr>
        <xdr:cNvPr id="14" name="Picture 37">
          <a:extLst>
            <a:ext uri="{FF2B5EF4-FFF2-40B4-BE49-F238E27FC236}">
              <a16:creationId xmlns:a16="http://schemas.microsoft.com/office/drawing/2014/main" id="{761E04DD-782F-4A5E-BCF8-6F1DDA19529A}"/>
            </a:ext>
            <a:ext uri="{147F2762-F138-4A5C-976F-8EAC2B608ADB}">
              <a16:predDERef xmlns:a16="http://schemas.microsoft.com/office/drawing/2014/main" pred="{F78D94A0-72D9-489C-9A52-0E524FB17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13145" r="3193"/>
        <a:stretch/>
      </xdr:blipFill>
      <xdr:spPr>
        <a:xfrm>
          <a:off x="20116800" y="4600575"/>
          <a:ext cx="542925" cy="676275"/>
        </a:xfrm>
        <a:prstGeom prst="rect">
          <a:avLst/>
        </a:prstGeom>
      </xdr:spPr>
    </xdr:pic>
    <xdr:clientData/>
  </xdr:twoCellAnchor>
  <xdr:twoCellAnchor editAs="oneCell">
    <xdr:from>
      <xdr:col>34</xdr:col>
      <xdr:colOff>1781175</xdr:colOff>
      <xdr:row>15</xdr:row>
      <xdr:rowOff>95250</xdr:rowOff>
    </xdr:from>
    <xdr:to>
      <xdr:col>34</xdr:col>
      <xdr:colOff>2276475</xdr:colOff>
      <xdr:row>17</xdr:row>
      <xdr:rowOff>104775</xdr:rowOff>
    </xdr:to>
    <xdr:pic>
      <xdr:nvPicPr>
        <xdr:cNvPr id="15" name="Picture 50">
          <a:extLst>
            <a:ext uri="{FF2B5EF4-FFF2-40B4-BE49-F238E27FC236}">
              <a16:creationId xmlns:a16="http://schemas.microsoft.com/office/drawing/2014/main" id="{1932BD6B-5082-4386-AE4A-C83CB6791A6D}"/>
            </a:ext>
            <a:ext uri="{147F2762-F138-4A5C-976F-8EAC2B608ADB}">
              <a16:predDERef xmlns:a16="http://schemas.microsoft.com/office/drawing/2014/main" pred="{761E04DD-782F-4A5E-BCF8-6F1DDA195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154900" y="6229350"/>
          <a:ext cx="495300" cy="542925"/>
        </a:xfrm>
        <a:prstGeom prst="rect">
          <a:avLst/>
        </a:prstGeom>
      </xdr:spPr>
    </xdr:pic>
    <xdr:clientData/>
  </xdr:twoCellAnchor>
  <xdr:twoCellAnchor editAs="oneCell">
    <xdr:from>
      <xdr:col>34</xdr:col>
      <xdr:colOff>1638300</xdr:colOff>
      <xdr:row>11</xdr:row>
      <xdr:rowOff>876300</xdr:rowOff>
    </xdr:from>
    <xdr:to>
      <xdr:col>34</xdr:col>
      <xdr:colOff>2362200</xdr:colOff>
      <xdr:row>14</xdr:row>
      <xdr:rowOff>161925</xdr:rowOff>
    </xdr:to>
    <xdr:pic>
      <xdr:nvPicPr>
        <xdr:cNvPr id="16" name="Picture 51">
          <a:extLst>
            <a:ext uri="{FF2B5EF4-FFF2-40B4-BE49-F238E27FC236}">
              <a16:creationId xmlns:a16="http://schemas.microsoft.com/office/drawing/2014/main" id="{E7187E13-CAF1-4F8D-800C-9AA1C7B9A3C2}"/>
            </a:ext>
            <a:ext uri="{147F2762-F138-4A5C-976F-8EAC2B608ADB}">
              <a16:predDERef xmlns:a16="http://schemas.microsoft.com/office/drawing/2014/main" pred="{1932BD6B-5082-4386-AE4A-C83CB6791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012025" y="5305425"/>
          <a:ext cx="723900" cy="723900"/>
        </a:xfrm>
        <a:prstGeom prst="rect">
          <a:avLst/>
        </a:prstGeom>
      </xdr:spPr>
    </xdr:pic>
    <xdr:clientData/>
  </xdr:twoCellAnchor>
  <xdr:twoCellAnchor>
    <xdr:from>
      <xdr:col>33</xdr:col>
      <xdr:colOff>351439</xdr:colOff>
      <xdr:row>11</xdr:row>
      <xdr:rowOff>219075</xdr:rowOff>
    </xdr:from>
    <xdr:to>
      <xdr:col>33</xdr:col>
      <xdr:colOff>837214</xdr:colOff>
      <xdr:row>11</xdr:row>
      <xdr:rowOff>685800</xdr:rowOff>
    </xdr:to>
    <xdr:sp macro="" textlink="">
      <xdr:nvSpPr>
        <xdr:cNvPr id="21" name="Rectangle 64">
          <a:extLst>
            <a:ext uri="{FF2B5EF4-FFF2-40B4-BE49-F238E27FC236}">
              <a16:creationId xmlns:a16="http://schemas.microsoft.com/office/drawing/2014/main" id="{E63C932E-630C-40E3-B784-6DC65BBAF2AC}"/>
            </a:ext>
            <a:ext uri="{147F2762-F138-4A5C-976F-8EAC2B608ADB}">
              <a16:predDERef xmlns:a16="http://schemas.microsoft.com/office/drawing/2014/main" pred="{7070558F-8272-4C99-9DD8-803433625BAD}"/>
            </a:ext>
          </a:extLst>
        </xdr:cNvPr>
        <xdr:cNvSpPr/>
      </xdr:nvSpPr>
      <xdr:spPr>
        <a:xfrm>
          <a:off x="17542422" y="4659696"/>
          <a:ext cx="485775" cy="4667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348483</xdr:colOff>
      <xdr:row>12</xdr:row>
      <xdr:rowOff>38100</xdr:rowOff>
    </xdr:from>
    <xdr:to>
      <xdr:col>33</xdr:col>
      <xdr:colOff>834258</xdr:colOff>
      <xdr:row>13</xdr:row>
      <xdr:rowOff>238125</xdr:rowOff>
    </xdr:to>
    <xdr:sp macro="" textlink="">
      <xdr:nvSpPr>
        <xdr:cNvPr id="22" name="Rectangle 65">
          <a:extLst>
            <a:ext uri="{FF2B5EF4-FFF2-40B4-BE49-F238E27FC236}">
              <a16:creationId xmlns:a16="http://schemas.microsoft.com/office/drawing/2014/main" id="{2DFDFFA3-64CC-4D4F-89FB-562219C6AB8F}"/>
            </a:ext>
            <a:ext uri="{147F2762-F138-4A5C-976F-8EAC2B608ADB}">
              <a16:predDERef xmlns:a16="http://schemas.microsoft.com/office/drawing/2014/main" pred="{E63C932E-630C-40E3-B784-6DC65BBAF2AC}"/>
            </a:ext>
          </a:extLst>
        </xdr:cNvPr>
        <xdr:cNvSpPr/>
      </xdr:nvSpPr>
      <xdr:spPr>
        <a:xfrm>
          <a:off x="17531583" y="5372100"/>
          <a:ext cx="485775" cy="4667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351439</xdr:colOff>
      <xdr:row>15</xdr:row>
      <xdr:rowOff>177034</xdr:rowOff>
    </xdr:from>
    <xdr:to>
      <xdr:col>33</xdr:col>
      <xdr:colOff>837214</xdr:colOff>
      <xdr:row>17</xdr:row>
      <xdr:rowOff>110359</xdr:rowOff>
    </xdr:to>
    <xdr:sp macro="" textlink="">
      <xdr:nvSpPr>
        <xdr:cNvPr id="23" name="Rectangle 66">
          <a:extLst>
            <a:ext uri="{FF2B5EF4-FFF2-40B4-BE49-F238E27FC236}">
              <a16:creationId xmlns:a16="http://schemas.microsoft.com/office/drawing/2014/main" id="{535F020B-BB52-4E7A-8860-C002CDA25896}"/>
            </a:ext>
            <a:ext uri="{147F2762-F138-4A5C-976F-8EAC2B608ADB}">
              <a16:predDERef xmlns:a16="http://schemas.microsoft.com/office/drawing/2014/main" pred="{2DFDFFA3-64CC-4D4F-89FB-562219C6AB8F}"/>
            </a:ext>
          </a:extLst>
        </xdr:cNvPr>
        <xdr:cNvSpPr/>
      </xdr:nvSpPr>
      <xdr:spPr>
        <a:xfrm>
          <a:off x="17542422" y="6332155"/>
          <a:ext cx="485775" cy="471980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351439</xdr:colOff>
      <xdr:row>19</xdr:row>
      <xdr:rowOff>30874</xdr:rowOff>
    </xdr:from>
    <xdr:to>
      <xdr:col>33</xdr:col>
      <xdr:colOff>837214</xdr:colOff>
      <xdr:row>20</xdr:row>
      <xdr:rowOff>233527</xdr:rowOff>
    </xdr:to>
    <xdr:sp macro="" textlink="">
      <xdr:nvSpPr>
        <xdr:cNvPr id="24" name="Rectangle 67">
          <a:extLst>
            <a:ext uri="{FF2B5EF4-FFF2-40B4-BE49-F238E27FC236}">
              <a16:creationId xmlns:a16="http://schemas.microsoft.com/office/drawing/2014/main" id="{97A1A58F-94B6-4943-9904-8789E317CF42}"/>
            </a:ext>
            <a:ext uri="{147F2762-F138-4A5C-976F-8EAC2B608ADB}">
              <a16:predDERef xmlns:a16="http://schemas.microsoft.com/office/drawing/2014/main" pred="{535F020B-BB52-4E7A-8860-C002CDA25896}"/>
            </a:ext>
          </a:extLst>
        </xdr:cNvPr>
        <xdr:cNvSpPr/>
      </xdr:nvSpPr>
      <xdr:spPr>
        <a:xfrm>
          <a:off x="17542422" y="7263305"/>
          <a:ext cx="485775" cy="471981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33</xdr:col>
      <xdr:colOff>350782</xdr:colOff>
      <xdr:row>23</xdr:row>
      <xdr:rowOff>32189</xdr:rowOff>
    </xdr:from>
    <xdr:to>
      <xdr:col>33</xdr:col>
      <xdr:colOff>836557</xdr:colOff>
      <xdr:row>24</xdr:row>
      <xdr:rowOff>234841</xdr:rowOff>
    </xdr:to>
    <xdr:sp macro="" textlink="">
      <xdr:nvSpPr>
        <xdr:cNvPr id="25" name="Rectangle 68">
          <a:extLst>
            <a:ext uri="{FF2B5EF4-FFF2-40B4-BE49-F238E27FC236}">
              <a16:creationId xmlns:a16="http://schemas.microsoft.com/office/drawing/2014/main" id="{33864870-00DB-48CE-9C93-906B420ECBBE}"/>
            </a:ext>
            <a:ext uri="{147F2762-F138-4A5C-976F-8EAC2B608ADB}">
              <a16:predDERef xmlns:a16="http://schemas.microsoft.com/office/drawing/2014/main" pred="{97A1A58F-94B6-4943-9904-8789E317CF42}"/>
            </a:ext>
          </a:extLst>
        </xdr:cNvPr>
        <xdr:cNvSpPr/>
      </xdr:nvSpPr>
      <xdr:spPr>
        <a:xfrm>
          <a:off x="17541765" y="8341930"/>
          <a:ext cx="485775" cy="471980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3076575</xdr:colOff>
      <xdr:row>73</xdr:row>
      <xdr:rowOff>66675</xdr:rowOff>
    </xdr:from>
    <xdr:to>
      <xdr:col>4</xdr:col>
      <xdr:colOff>3371850</xdr:colOff>
      <xdr:row>73</xdr:row>
      <xdr:rowOff>323850</xdr:rowOff>
    </xdr:to>
    <xdr:sp macro="" textlink="">
      <xdr:nvSpPr>
        <xdr:cNvPr id="31" name="Rectangle 74">
          <a:extLst>
            <a:ext uri="{FF2B5EF4-FFF2-40B4-BE49-F238E27FC236}">
              <a16:creationId xmlns:a16="http://schemas.microsoft.com/office/drawing/2014/main" id="{5D6D8BD6-805F-44EE-94D6-E9D33EB1EC09}"/>
            </a:ext>
            <a:ext uri="{147F2762-F138-4A5C-976F-8EAC2B608ADB}">
              <a16:predDERef xmlns:a16="http://schemas.microsoft.com/office/drawing/2014/main" pred="{B13EB388-DA12-4E86-BBF8-5523ECF1599B}"/>
            </a:ext>
          </a:extLst>
        </xdr:cNvPr>
        <xdr:cNvSpPr/>
      </xdr:nvSpPr>
      <xdr:spPr>
        <a:xfrm>
          <a:off x="7772400" y="24584025"/>
          <a:ext cx="295275" cy="257175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3076575</xdr:colOff>
      <xdr:row>74</xdr:row>
      <xdr:rowOff>85725</xdr:rowOff>
    </xdr:from>
    <xdr:to>
      <xdr:col>4</xdr:col>
      <xdr:colOff>3371850</xdr:colOff>
      <xdr:row>74</xdr:row>
      <xdr:rowOff>342900</xdr:rowOff>
    </xdr:to>
    <xdr:sp macro="" textlink="">
      <xdr:nvSpPr>
        <xdr:cNvPr id="32" name="Rectangle 75">
          <a:extLst>
            <a:ext uri="{FF2B5EF4-FFF2-40B4-BE49-F238E27FC236}">
              <a16:creationId xmlns:a16="http://schemas.microsoft.com/office/drawing/2014/main" id="{186CE861-B5BD-426E-8BB1-8FEB8735EF1B}"/>
            </a:ext>
            <a:ext uri="{147F2762-F138-4A5C-976F-8EAC2B608ADB}">
              <a16:predDERef xmlns:a16="http://schemas.microsoft.com/office/drawing/2014/main" pred="{5D6D8BD6-805F-44EE-94D6-E9D33EB1EC09}"/>
            </a:ext>
          </a:extLst>
        </xdr:cNvPr>
        <xdr:cNvSpPr/>
      </xdr:nvSpPr>
      <xdr:spPr>
        <a:xfrm>
          <a:off x="7772400" y="2506027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3067050</xdr:colOff>
      <xdr:row>75</xdr:row>
      <xdr:rowOff>57150</xdr:rowOff>
    </xdr:from>
    <xdr:to>
      <xdr:col>4</xdr:col>
      <xdr:colOff>3362325</xdr:colOff>
      <xdr:row>75</xdr:row>
      <xdr:rowOff>314325</xdr:rowOff>
    </xdr:to>
    <xdr:sp macro="" textlink="">
      <xdr:nvSpPr>
        <xdr:cNvPr id="33" name="Rectangle 76">
          <a:extLst>
            <a:ext uri="{FF2B5EF4-FFF2-40B4-BE49-F238E27FC236}">
              <a16:creationId xmlns:a16="http://schemas.microsoft.com/office/drawing/2014/main" id="{4BF7F8C6-F89C-46F2-A204-6C8D59993BF7}"/>
            </a:ext>
            <a:ext uri="{147F2762-F138-4A5C-976F-8EAC2B608ADB}">
              <a16:predDERef xmlns:a16="http://schemas.microsoft.com/office/drawing/2014/main" pred="{186CE861-B5BD-426E-8BB1-8FEB8735EF1B}"/>
            </a:ext>
          </a:extLst>
        </xdr:cNvPr>
        <xdr:cNvSpPr/>
      </xdr:nvSpPr>
      <xdr:spPr>
        <a:xfrm>
          <a:off x="7762875" y="2548890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3076575</xdr:colOff>
      <xdr:row>76</xdr:row>
      <xdr:rowOff>38100</xdr:rowOff>
    </xdr:from>
    <xdr:to>
      <xdr:col>4</xdr:col>
      <xdr:colOff>3371850</xdr:colOff>
      <xdr:row>76</xdr:row>
      <xdr:rowOff>295275</xdr:rowOff>
    </xdr:to>
    <xdr:sp macro="" textlink="">
      <xdr:nvSpPr>
        <xdr:cNvPr id="34" name="Rectangle 77">
          <a:extLst>
            <a:ext uri="{FF2B5EF4-FFF2-40B4-BE49-F238E27FC236}">
              <a16:creationId xmlns:a16="http://schemas.microsoft.com/office/drawing/2014/main" id="{DCEA0597-DE82-4E0A-B38B-7EDA3B79E8B8}"/>
            </a:ext>
            <a:ext uri="{147F2762-F138-4A5C-976F-8EAC2B608ADB}">
              <a16:predDERef xmlns:a16="http://schemas.microsoft.com/office/drawing/2014/main" pred="{4BF7F8C6-F89C-46F2-A204-6C8D59993BF7}"/>
            </a:ext>
          </a:extLst>
        </xdr:cNvPr>
        <xdr:cNvSpPr/>
      </xdr:nvSpPr>
      <xdr:spPr>
        <a:xfrm>
          <a:off x="7772400" y="2592705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3067050</xdr:colOff>
      <xdr:row>77</xdr:row>
      <xdr:rowOff>85725</xdr:rowOff>
    </xdr:from>
    <xdr:to>
      <xdr:col>4</xdr:col>
      <xdr:colOff>3362325</xdr:colOff>
      <xdr:row>77</xdr:row>
      <xdr:rowOff>342900</xdr:rowOff>
    </xdr:to>
    <xdr:sp macro="" textlink="">
      <xdr:nvSpPr>
        <xdr:cNvPr id="35" name="Rectangle 78">
          <a:extLst>
            <a:ext uri="{FF2B5EF4-FFF2-40B4-BE49-F238E27FC236}">
              <a16:creationId xmlns:a16="http://schemas.microsoft.com/office/drawing/2014/main" id="{F343A011-AA39-4C3B-AB3A-AAF18998253F}"/>
            </a:ext>
            <a:ext uri="{147F2762-F138-4A5C-976F-8EAC2B608ADB}">
              <a16:predDERef xmlns:a16="http://schemas.microsoft.com/office/drawing/2014/main" pred="{DCEA0597-DE82-4E0A-B38B-7EDA3B79E8B8}"/>
            </a:ext>
          </a:extLst>
        </xdr:cNvPr>
        <xdr:cNvSpPr/>
      </xdr:nvSpPr>
      <xdr:spPr>
        <a:xfrm>
          <a:off x="7762875" y="2643187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3067050</xdr:colOff>
      <xdr:row>78</xdr:row>
      <xdr:rowOff>76200</xdr:rowOff>
    </xdr:from>
    <xdr:to>
      <xdr:col>4</xdr:col>
      <xdr:colOff>3362325</xdr:colOff>
      <xdr:row>78</xdr:row>
      <xdr:rowOff>333375</xdr:rowOff>
    </xdr:to>
    <xdr:sp macro="" textlink="">
      <xdr:nvSpPr>
        <xdr:cNvPr id="36" name="Rectangle 79">
          <a:extLst>
            <a:ext uri="{FF2B5EF4-FFF2-40B4-BE49-F238E27FC236}">
              <a16:creationId xmlns:a16="http://schemas.microsoft.com/office/drawing/2014/main" id="{DDBB5E40-6528-45A4-96B2-9F2D89376F61}"/>
            </a:ext>
            <a:ext uri="{147F2762-F138-4A5C-976F-8EAC2B608ADB}">
              <a16:predDERef xmlns:a16="http://schemas.microsoft.com/office/drawing/2014/main" pred="{F343A011-AA39-4C3B-AB3A-AAF18998253F}"/>
            </a:ext>
          </a:extLst>
        </xdr:cNvPr>
        <xdr:cNvSpPr/>
      </xdr:nvSpPr>
      <xdr:spPr>
        <a:xfrm>
          <a:off x="7762875" y="2687955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3067050</xdr:colOff>
      <xdr:row>79</xdr:row>
      <xdr:rowOff>19050</xdr:rowOff>
    </xdr:from>
    <xdr:to>
      <xdr:col>4</xdr:col>
      <xdr:colOff>3362325</xdr:colOff>
      <xdr:row>79</xdr:row>
      <xdr:rowOff>276225</xdr:rowOff>
    </xdr:to>
    <xdr:sp macro="" textlink="">
      <xdr:nvSpPr>
        <xdr:cNvPr id="37" name="Rectangle 80">
          <a:extLst>
            <a:ext uri="{FF2B5EF4-FFF2-40B4-BE49-F238E27FC236}">
              <a16:creationId xmlns:a16="http://schemas.microsoft.com/office/drawing/2014/main" id="{69222FBF-344F-41B3-8865-0E3DE1690D93}"/>
            </a:ext>
            <a:ext uri="{147F2762-F138-4A5C-976F-8EAC2B608ADB}">
              <a16:predDERef xmlns:a16="http://schemas.microsoft.com/office/drawing/2014/main" pred="{DDBB5E40-6528-45A4-96B2-9F2D89376F61}"/>
            </a:ext>
          </a:extLst>
        </xdr:cNvPr>
        <xdr:cNvSpPr/>
      </xdr:nvSpPr>
      <xdr:spPr>
        <a:xfrm>
          <a:off x="7762875" y="2727960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238125</xdr:colOff>
      <xdr:row>73</xdr:row>
      <xdr:rowOff>104775</xdr:rowOff>
    </xdr:from>
    <xdr:to>
      <xdr:col>11</xdr:col>
      <xdr:colOff>533400</xdr:colOff>
      <xdr:row>73</xdr:row>
      <xdr:rowOff>361950</xdr:rowOff>
    </xdr:to>
    <xdr:sp macro="" textlink="">
      <xdr:nvSpPr>
        <xdr:cNvPr id="38" name="Rectangle 81">
          <a:extLst>
            <a:ext uri="{FF2B5EF4-FFF2-40B4-BE49-F238E27FC236}">
              <a16:creationId xmlns:a16="http://schemas.microsoft.com/office/drawing/2014/main" id="{8858FBEC-476E-4B23-81AB-0F0E48C907F0}"/>
            </a:ext>
            <a:ext uri="{147F2762-F138-4A5C-976F-8EAC2B608ADB}">
              <a16:predDERef xmlns:a16="http://schemas.microsoft.com/office/drawing/2014/main" pred="{69222FBF-344F-41B3-8865-0E3DE1690D93}"/>
            </a:ext>
          </a:extLst>
        </xdr:cNvPr>
        <xdr:cNvSpPr/>
      </xdr:nvSpPr>
      <xdr:spPr>
        <a:xfrm>
          <a:off x="12201525" y="24622125"/>
          <a:ext cx="295275" cy="257175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238125</xdr:colOff>
      <xdr:row>74</xdr:row>
      <xdr:rowOff>95250</xdr:rowOff>
    </xdr:from>
    <xdr:to>
      <xdr:col>11</xdr:col>
      <xdr:colOff>533400</xdr:colOff>
      <xdr:row>74</xdr:row>
      <xdr:rowOff>352425</xdr:rowOff>
    </xdr:to>
    <xdr:sp macro="" textlink="">
      <xdr:nvSpPr>
        <xdr:cNvPr id="39" name="Rectangle 82">
          <a:extLst>
            <a:ext uri="{FF2B5EF4-FFF2-40B4-BE49-F238E27FC236}">
              <a16:creationId xmlns:a16="http://schemas.microsoft.com/office/drawing/2014/main" id="{445917A8-7279-4762-9F26-D207C6FADB52}"/>
            </a:ext>
            <a:ext uri="{147F2762-F138-4A5C-976F-8EAC2B608ADB}">
              <a16:predDERef xmlns:a16="http://schemas.microsoft.com/office/drawing/2014/main" pred="{8858FBEC-476E-4B23-81AB-0F0E48C907F0}"/>
            </a:ext>
          </a:extLst>
        </xdr:cNvPr>
        <xdr:cNvSpPr/>
      </xdr:nvSpPr>
      <xdr:spPr>
        <a:xfrm>
          <a:off x="12201525" y="2506980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247650</xdr:colOff>
      <xdr:row>75</xdr:row>
      <xdr:rowOff>95250</xdr:rowOff>
    </xdr:from>
    <xdr:to>
      <xdr:col>11</xdr:col>
      <xdr:colOff>542925</xdr:colOff>
      <xdr:row>75</xdr:row>
      <xdr:rowOff>352425</xdr:rowOff>
    </xdr:to>
    <xdr:sp macro="" textlink="">
      <xdr:nvSpPr>
        <xdr:cNvPr id="40" name="Rectangle 83">
          <a:extLst>
            <a:ext uri="{FF2B5EF4-FFF2-40B4-BE49-F238E27FC236}">
              <a16:creationId xmlns:a16="http://schemas.microsoft.com/office/drawing/2014/main" id="{92CCA954-9D02-4FC8-9A7B-97374A90F5BC}"/>
            </a:ext>
            <a:ext uri="{147F2762-F138-4A5C-976F-8EAC2B608ADB}">
              <a16:predDERef xmlns:a16="http://schemas.microsoft.com/office/drawing/2014/main" pred="{445917A8-7279-4762-9F26-D207C6FADB52}"/>
            </a:ext>
          </a:extLst>
        </xdr:cNvPr>
        <xdr:cNvSpPr/>
      </xdr:nvSpPr>
      <xdr:spPr>
        <a:xfrm>
          <a:off x="12211050" y="2552700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238125</xdr:colOff>
      <xdr:row>76</xdr:row>
      <xdr:rowOff>85725</xdr:rowOff>
    </xdr:from>
    <xdr:to>
      <xdr:col>11</xdr:col>
      <xdr:colOff>533400</xdr:colOff>
      <xdr:row>76</xdr:row>
      <xdr:rowOff>342900</xdr:rowOff>
    </xdr:to>
    <xdr:sp macro="" textlink="">
      <xdr:nvSpPr>
        <xdr:cNvPr id="41" name="Rectangle 84">
          <a:extLst>
            <a:ext uri="{FF2B5EF4-FFF2-40B4-BE49-F238E27FC236}">
              <a16:creationId xmlns:a16="http://schemas.microsoft.com/office/drawing/2014/main" id="{C0A8C36A-CDC0-41B5-88F6-FB5F46591F51}"/>
            </a:ext>
            <a:ext uri="{147F2762-F138-4A5C-976F-8EAC2B608ADB}">
              <a16:predDERef xmlns:a16="http://schemas.microsoft.com/office/drawing/2014/main" pred="{92CCA954-9D02-4FC8-9A7B-97374A90F5BC}"/>
            </a:ext>
          </a:extLst>
        </xdr:cNvPr>
        <xdr:cNvSpPr/>
      </xdr:nvSpPr>
      <xdr:spPr>
        <a:xfrm>
          <a:off x="12201525" y="2597467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247650</xdr:colOff>
      <xdr:row>77</xdr:row>
      <xdr:rowOff>104775</xdr:rowOff>
    </xdr:from>
    <xdr:to>
      <xdr:col>11</xdr:col>
      <xdr:colOff>542925</xdr:colOff>
      <xdr:row>77</xdr:row>
      <xdr:rowOff>361950</xdr:rowOff>
    </xdr:to>
    <xdr:sp macro="" textlink="">
      <xdr:nvSpPr>
        <xdr:cNvPr id="42" name="Rectangle 85">
          <a:extLst>
            <a:ext uri="{FF2B5EF4-FFF2-40B4-BE49-F238E27FC236}">
              <a16:creationId xmlns:a16="http://schemas.microsoft.com/office/drawing/2014/main" id="{D4B0A811-5D6D-4BFA-ACD8-3AC468D3A844}"/>
            </a:ext>
            <a:ext uri="{147F2762-F138-4A5C-976F-8EAC2B608ADB}">
              <a16:predDERef xmlns:a16="http://schemas.microsoft.com/office/drawing/2014/main" pred="{C0A8C36A-CDC0-41B5-88F6-FB5F46591F51}"/>
            </a:ext>
          </a:extLst>
        </xdr:cNvPr>
        <xdr:cNvSpPr/>
      </xdr:nvSpPr>
      <xdr:spPr>
        <a:xfrm>
          <a:off x="12211050" y="26450925"/>
          <a:ext cx="295275" cy="257175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238125</xdr:colOff>
      <xdr:row>78</xdr:row>
      <xdr:rowOff>114300</xdr:rowOff>
    </xdr:from>
    <xdr:to>
      <xdr:col>11</xdr:col>
      <xdr:colOff>533400</xdr:colOff>
      <xdr:row>78</xdr:row>
      <xdr:rowOff>371475</xdr:rowOff>
    </xdr:to>
    <xdr:sp macro="" textlink="">
      <xdr:nvSpPr>
        <xdr:cNvPr id="43" name="Rectangle 86">
          <a:extLst>
            <a:ext uri="{FF2B5EF4-FFF2-40B4-BE49-F238E27FC236}">
              <a16:creationId xmlns:a16="http://schemas.microsoft.com/office/drawing/2014/main" id="{B8BA725F-CB82-4217-889E-57603DF27B77}"/>
            </a:ext>
            <a:ext uri="{147F2762-F138-4A5C-976F-8EAC2B608ADB}">
              <a16:predDERef xmlns:a16="http://schemas.microsoft.com/office/drawing/2014/main" pred="{D4B0A811-5D6D-4BFA-ACD8-3AC468D3A844}"/>
            </a:ext>
          </a:extLst>
        </xdr:cNvPr>
        <xdr:cNvSpPr/>
      </xdr:nvSpPr>
      <xdr:spPr>
        <a:xfrm>
          <a:off x="12201525" y="2691765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419100</xdr:colOff>
      <xdr:row>73</xdr:row>
      <xdr:rowOff>152400</xdr:rowOff>
    </xdr:from>
    <xdr:to>
      <xdr:col>32</xdr:col>
      <xdr:colOff>714375</xdr:colOff>
      <xdr:row>73</xdr:row>
      <xdr:rowOff>409575</xdr:rowOff>
    </xdr:to>
    <xdr:sp macro="" textlink="">
      <xdr:nvSpPr>
        <xdr:cNvPr id="44" name="Rectangle 87">
          <a:extLst>
            <a:ext uri="{FF2B5EF4-FFF2-40B4-BE49-F238E27FC236}">
              <a16:creationId xmlns:a16="http://schemas.microsoft.com/office/drawing/2014/main" id="{4F718CDC-8507-4E89-91E6-5DE3CE956FFC}"/>
            </a:ext>
            <a:ext uri="{147F2762-F138-4A5C-976F-8EAC2B608ADB}">
              <a16:predDERef xmlns:a16="http://schemas.microsoft.com/office/drawing/2014/main" pred="{B8BA725F-CB82-4217-889E-57603DF27B77}"/>
            </a:ext>
          </a:extLst>
        </xdr:cNvPr>
        <xdr:cNvSpPr/>
      </xdr:nvSpPr>
      <xdr:spPr>
        <a:xfrm>
          <a:off x="16849725" y="24669750"/>
          <a:ext cx="295275" cy="257175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409575</xdr:colOff>
      <xdr:row>74</xdr:row>
      <xdr:rowOff>114300</xdr:rowOff>
    </xdr:from>
    <xdr:to>
      <xdr:col>32</xdr:col>
      <xdr:colOff>704850</xdr:colOff>
      <xdr:row>74</xdr:row>
      <xdr:rowOff>371475</xdr:rowOff>
    </xdr:to>
    <xdr:sp macro="" textlink="">
      <xdr:nvSpPr>
        <xdr:cNvPr id="45" name="Rectangle 88">
          <a:extLst>
            <a:ext uri="{FF2B5EF4-FFF2-40B4-BE49-F238E27FC236}">
              <a16:creationId xmlns:a16="http://schemas.microsoft.com/office/drawing/2014/main" id="{7F50AF8B-6384-4763-8698-F55F1E27F0A8}"/>
            </a:ext>
            <a:ext uri="{147F2762-F138-4A5C-976F-8EAC2B608ADB}">
              <a16:predDERef xmlns:a16="http://schemas.microsoft.com/office/drawing/2014/main" pred="{4F718CDC-8507-4E89-91E6-5DE3CE956FFC}"/>
            </a:ext>
          </a:extLst>
        </xdr:cNvPr>
        <xdr:cNvSpPr/>
      </xdr:nvSpPr>
      <xdr:spPr>
        <a:xfrm>
          <a:off x="16840200" y="2508885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419100</xdr:colOff>
      <xdr:row>75</xdr:row>
      <xdr:rowOff>95250</xdr:rowOff>
    </xdr:from>
    <xdr:to>
      <xdr:col>32</xdr:col>
      <xdr:colOff>714375</xdr:colOff>
      <xdr:row>75</xdr:row>
      <xdr:rowOff>352425</xdr:rowOff>
    </xdr:to>
    <xdr:sp macro="" textlink="">
      <xdr:nvSpPr>
        <xdr:cNvPr id="46" name="Rectangle 89">
          <a:extLst>
            <a:ext uri="{FF2B5EF4-FFF2-40B4-BE49-F238E27FC236}">
              <a16:creationId xmlns:a16="http://schemas.microsoft.com/office/drawing/2014/main" id="{290D42B3-08C8-4CA7-A948-3C16C9BC4126}"/>
            </a:ext>
            <a:ext uri="{147F2762-F138-4A5C-976F-8EAC2B608ADB}">
              <a16:predDERef xmlns:a16="http://schemas.microsoft.com/office/drawing/2014/main" pred="{7F50AF8B-6384-4763-8698-F55F1E27F0A8}"/>
            </a:ext>
          </a:extLst>
        </xdr:cNvPr>
        <xdr:cNvSpPr/>
      </xdr:nvSpPr>
      <xdr:spPr>
        <a:xfrm>
          <a:off x="16849725" y="2552700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419100</xdr:colOff>
      <xdr:row>76</xdr:row>
      <xdr:rowOff>66675</xdr:rowOff>
    </xdr:from>
    <xdr:to>
      <xdr:col>32</xdr:col>
      <xdr:colOff>714375</xdr:colOff>
      <xdr:row>76</xdr:row>
      <xdr:rowOff>323850</xdr:rowOff>
    </xdr:to>
    <xdr:sp macro="" textlink="">
      <xdr:nvSpPr>
        <xdr:cNvPr id="47" name="Rectangle 90">
          <a:extLst>
            <a:ext uri="{FF2B5EF4-FFF2-40B4-BE49-F238E27FC236}">
              <a16:creationId xmlns:a16="http://schemas.microsoft.com/office/drawing/2014/main" id="{41639895-42B4-43BE-9E70-65B66B2289AF}"/>
            </a:ext>
            <a:ext uri="{147F2762-F138-4A5C-976F-8EAC2B608ADB}">
              <a16:predDERef xmlns:a16="http://schemas.microsoft.com/office/drawing/2014/main" pred="{290D42B3-08C8-4CA7-A948-3C16C9BC4126}"/>
            </a:ext>
          </a:extLst>
        </xdr:cNvPr>
        <xdr:cNvSpPr/>
      </xdr:nvSpPr>
      <xdr:spPr>
        <a:xfrm>
          <a:off x="16849725" y="2595562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419100</xdr:colOff>
      <xdr:row>77</xdr:row>
      <xdr:rowOff>47625</xdr:rowOff>
    </xdr:from>
    <xdr:to>
      <xdr:col>32</xdr:col>
      <xdr:colOff>714375</xdr:colOff>
      <xdr:row>77</xdr:row>
      <xdr:rowOff>304800</xdr:rowOff>
    </xdr:to>
    <xdr:sp macro="" textlink="">
      <xdr:nvSpPr>
        <xdr:cNvPr id="48" name="Rectangle 91">
          <a:extLst>
            <a:ext uri="{FF2B5EF4-FFF2-40B4-BE49-F238E27FC236}">
              <a16:creationId xmlns:a16="http://schemas.microsoft.com/office/drawing/2014/main" id="{CE83F180-A4F9-4BA8-929D-02052F7B7348}"/>
            </a:ext>
            <a:ext uri="{147F2762-F138-4A5C-976F-8EAC2B608ADB}">
              <a16:predDERef xmlns:a16="http://schemas.microsoft.com/office/drawing/2014/main" pred="{41639895-42B4-43BE-9E70-65B66B2289AF}"/>
            </a:ext>
          </a:extLst>
        </xdr:cNvPr>
        <xdr:cNvSpPr/>
      </xdr:nvSpPr>
      <xdr:spPr>
        <a:xfrm>
          <a:off x="16849725" y="2639377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419100</xdr:colOff>
      <xdr:row>78</xdr:row>
      <xdr:rowOff>28575</xdr:rowOff>
    </xdr:from>
    <xdr:to>
      <xdr:col>32</xdr:col>
      <xdr:colOff>714375</xdr:colOff>
      <xdr:row>78</xdr:row>
      <xdr:rowOff>285750</xdr:rowOff>
    </xdr:to>
    <xdr:sp macro="" textlink="">
      <xdr:nvSpPr>
        <xdr:cNvPr id="49" name="Rectangle 92">
          <a:extLst>
            <a:ext uri="{FF2B5EF4-FFF2-40B4-BE49-F238E27FC236}">
              <a16:creationId xmlns:a16="http://schemas.microsoft.com/office/drawing/2014/main" id="{ACD3E45D-8A90-4801-932F-2E87AAE26D31}"/>
            </a:ext>
            <a:ext uri="{147F2762-F138-4A5C-976F-8EAC2B608ADB}">
              <a16:predDERef xmlns:a16="http://schemas.microsoft.com/office/drawing/2014/main" pred="{CE83F180-A4F9-4BA8-929D-02052F7B7348}"/>
            </a:ext>
          </a:extLst>
        </xdr:cNvPr>
        <xdr:cNvSpPr/>
      </xdr:nvSpPr>
      <xdr:spPr>
        <a:xfrm>
          <a:off x="16849725" y="2683192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32</xdr:col>
      <xdr:colOff>409575</xdr:colOff>
      <xdr:row>78</xdr:row>
      <xdr:rowOff>447675</xdr:rowOff>
    </xdr:from>
    <xdr:to>
      <xdr:col>32</xdr:col>
      <xdr:colOff>704850</xdr:colOff>
      <xdr:row>79</xdr:row>
      <xdr:rowOff>247650</xdr:rowOff>
    </xdr:to>
    <xdr:sp macro="" textlink="">
      <xdr:nvSpPr>
        <xdr:cNvPr id="50" name="Rectangle 93">
          <a:extLst>
            <a:ext uri="{FF2B5EF4-FFF2-40B4-BE49-F238E27FC236}">
              <a16:creationId xmlns:a16="http://schemas.microsoft.com/office/drawing/2014/main" id="{DA56ECDE-81B8-457A-B15D-E0067D4FEA07}"/>
            </a:ext>
            <a:ext uri="{147F2762-F138-4A5C-976F-8EAC2B608ADB}">
              <a16:predDERef xmlns:a16="http://schemas.microsoft.com/office/drawing/2014/main" pred="{ACD3E45D-8A90-4801-932F-2E87AAE26D31}"/>
            </a:ext>
          </a:extLst>
        </xdr:cNvPr>
        <xdr:cNvSpPr/>
      </xdr:nvSpPr>
      <xdr:spPr>
        <a:xfrm>
          <a:off x="16840200" y="27251025"/>
          <a:ext cx="295275" cy="257175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0</xdr:colOff>
      <xdr:row>73</xdr:row>
      <xdr:rowOff>0</xdr:rowOff>
    </xdr:from>
    <xdr:to>
      <xdr:col>35</xdr:col>
      <xdr:colOff>295275</xdr:colOff>
      <xdr:row>73</xdr:row>
      <xdr:rowOff>257175</xdr:rowOff>
    </xdr:to>
    <xdr:sp macro="" textlink="">
      <xdr:nvSpPr>
        <xdr:cNvPr id="51" name="Rectangle 94">
          <a:extLst>
            <a:ext uri="{FF2B5EF4-FFF2-40B4-BE49-F238E27FC236}">
              <a16:creationId xmlns:a16="http://schemas.microsoft.com/office/drawing/2014/main" id="{3EE5AB3E-E21B-4056-93FA-4C934830771C}"/>
            </a:ext>
            <a:ext uri="{147F2762-F138-4A5C-976F-8EAC2B608ADB}">
              <a16:predDERef xmlns:a16="http://schemas.microsoft.com/office/drawing/2014/main" pred="{DA56ECDE-81B8-457A-B15D-E0067D4FEA07}"/>
            </a:ext>
          </a:extLst>
        </xdr:cNvPr>
        <xdr:cNvSpPr/>
      </xdr:nvSpPr>
      <xdr:spPr>
        <a:xfrm>
          <a:off x="21097875" y="24517350"/>
          <a:ext cx="295275" cy="257175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0</xdr:colOff>
      <xdr:row>74</xdr:row>
      <xdr:rowOff>0</xdr:rowOff>
    </xdr:from>
    <xdr:to>
      <xdr:col>35</xdr:col>
      <xdr:colOff>295275</xdr:colOff>
      <xdr:row>74</xdr:row>
      <xdr:rowOff>257175</xdr:rowOff>
    </xdr:to>
    <xdr:sp macro="" textlink="">
      <xdr:nvSpPr>
        <xdr:cNvPr id="52" name="Rectangle 95">
          <a:extLst>
            <a:ext uri="{FF2B5EF4-FFF2-40B4-BE49-F238E27FC236}">
              <a16:creationId xmlns:a16="http://schemas.microsoft.com/office/drawing/2014/main" id="{76151267-0C83-4D1F-B827-0AFE1E1F7A81}"/>
            </a:ext>
            <a:ext uri="{147F2762-F138-4A5C-976F-8EAC2B608ADB}">
              <a16:predDERef xmlns:a16="http://schemas.microsoft.com/office/drawing/2014/main" pred="{3EE5AB3E-E21B-4056-93FA-4C934830771C}"/>
            </a:ext>
          </a:extLst>
        </xdr:cNvPr>
        <xdr:cNvSpPr/>
      </xdr:nvSpPr>
      <xdr:spPr>
        <a:xfrm>
          <a:off x="21097875" y="2497455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0</xdr:colOff>
      <xdr:row>75</xdr:row>
      <xdr:rowOff>104775</xdr:rowOff>
    </xdr:from>
    <xdr:to>
      <xdr:col>35</xdr:col>
      <xdr:colOff>295275</xdr:colOff>
      <xdr:row>75</xdr:row>
      <xdr:rowOff>361950</xdr:rowOff>
    </xdr:to>
    <xdr:sp macro="" textlink="">
      <xdr:nvSpPr>
        <xdr:cNvPr id="53" name="Rectangle 96">
          <a:extLst>
            <a:ext uri="{FF2B5EF4-FFF2-40B4-BE49-F238E27FC236}">
              <a16:creationId xmlns:a16="http://schemas.microsoft.com/office/drawing/2014/main" id="{8EB5AD6A-D513-4C99-B460-47F8BB8AFCD8}"/>
            </a:ext>
            <a:ext uri="{147F2762-F138-4A5C-976F-8EAC2B608ADB}">
              <a16:predDERef xmlns:a16="http://schemas.microsoft.com/office/drawing/2014/main" pred="{76151267-0C83-4D1F-B827-0AFE1E1F7A81}"/>
            </a:ext>
          </a:extLst>
        </xdr:cNvPr>
        <xdr:cNvSpPr/>
      </xdr:nvSpPr>
      <xdr:spPr>
        <a:xfrm>
          <a:off x="21097875" y="2553652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0</xdr:colOff>
      <xdr:row>76</xdr:row>
      <xdr:rowOff>266700</xdr:rowOff>
    </xdr:from>
    <xdr:to>
      <xdr:col>35</xdr:col>
      <xdr:colOff>295275</xdr:colOff>
      <xdr:row>77</xdr:row>
      <xdr:rowOff>66675</xdr:rowOff>
    </xdr:to>
    <xdr:sp macro="" textlink="">
      <xdr:nvSpPr>
        <xdr:cNvPr id="54" name="Rectangle 98">
          <a:extLst>
            <a:ext uri="{FF2B5EF4-FFF2-40B4-BE49-F238E27FC236}">
              <a16:creationId xmlns:a16="http://schemas.microsoft.com/office/drawing/2014/main" id="{1EE55D27-FFA1-4A89-ABD4-8CA8FE3A7248}"/>
            </a:ext>
            <a:ext uri="{147F2762-F138-4A5C-976F-8EAC2B608ADB}">
              <a16:predDERef xmlns:a16="http://schemas.microsoft.com/office/drawing/2014/main" pred="{8EB5AD6A-D513-4C99-B460-47F8BB8AFCD8}"/>
            </a:ext>
          </a:extLst>
        </xdr:cNvPr>
        <xdr:cNvSpPr/>
      </xdr:nvSpPr>
      <xdr:spPr>
        <a:xfrm>
          <a:off x="21097875" y="2615565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0</xdr:colOff>
      <xdr:row>78</xdr:row>
      <xdr:rowOff>76200</xdr:rowOff>
    </xdr:from>
    <xdr:to>
      <xdr:col>35</xdr:col>
      <xdr:colOff>295275</xdr:colOff>
      <xdr:row>78</xdr:row>
      <xdr:rowOff>333375</xdr:rowOff>
    </xdr:to>
    <xdr:sp macro="" textlink="">
      <xdr:nvSpPr>
        <xdr:cNvPr id="55" name="Rectangle 99">
          <a:extLst>
            <a:ext uri="{FF2B5EF4-FFF2-40B4-BE49-F238E27FC236}">
              <a16:creationId xmlns:a16="http://schemas.microsoft.com/office/drawing/2014/main" id="{4A7E9438-CFE0-43BE-B82D-074300A7BE9D}"/>
            </a:ext>
            <a:ext uri="{147F2762-F138-4A5C-976F-8EAC2B608ADB}">
              <a16:predDERef xmlns:a16="http://schemas.microsoft.com/office/drawing/2014/main" pred="{1EE55D27-FFA1-4A89-ABD4-8CA8FE3A7248}"/>
            </a:ext>
          </a:extLst>
        </xdr:cNvPr>
        <xdr:cNvSpPr/>
      </xdr:nvSpPr>
      <xdr:spPr>
        <a:xfrm>
          <a:off x="21097875" y="2687955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35</xdr:col>
      <xdr:colOff>0</xdr:colOff>
      <xdr:row>79</xdr:row>
      <xdr:rowOff>95250</xdr:rowOff>
    </xdr:from>
    <xdr:to>
      <xdr:col>35</xdr:col>
      <xdr:colOff>295275</xdr:colOff>
      <xdr:row>79</xdr:row>
      <xdr:rowOff>352425</xdr:rowOff>
    </xdr:to>
    <xdr:sp macro="" textlink="">
      <xdr:nvSpPr>
        <xdr:cNvPr id="56" name="Rectangle 100">
          <a:extLst>
            <a:ext uri="{FF2B5EF4-FFF2-40B4-BE49-F238E27FC236}">
              <a16:creationId xmlns:a16="http://schemas.microsoft.com/office/drawing/2014/main" id="{216705B1-58CD-44E5-9F6A-8AB486C66754}"/>
            </a:ext>
            <a:ext uri="{147F2762-F138-4A5C-976F-8EAC2B608ADB}">
              <a16:predDERef xmlns:a16="http://schemas.microsoft.com/office/drawing/2014/main" pred="{4A7E9438-CFE0-43BE-B82D-074300A7BE9D}"/>
            </a:ext>
          </a:extLst>
        </xdr:cNvPr>
        <xdr:cNvSpPr/>
      </xdr:nvSpPr>
      <xdr:spPr>
        <a:xfrm>
          <a:off x="21097875" y="27355800"/>
          <a:ext cx="295275" cy="257175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0</xdr:colOff>
      <xdr:row>73</xdr:row>
      <xdr:rowOff>123825</xdr:rowOff>
    </xdr:from>
    <xdr:to>
      <xdr:col>38</xdr:col>
      <xdr:colOff>295275</xdr:colOff>
      <xdr:row>73</xdr:row>
      <xdr:rowOff>381000</xdr:rowOff>
    </xdr:to>
    <xdr:sp macro="" textlink="">
      <xdr:nvSpPr>
        <xdr:cNvPr id="57" name="Rectangle 101">
          <a:extLst>
            <a:ext uri="{FF2B5EF4-FFF2-40B4-BE49-F238E27FC236}">
              <a16:creationId xmlns:a16="http://schemas.microsoft.com/office/drawing/2014/main" id="{5F9E3068-A23D-4F34-90B1-0801FA427303}"/>
            </a:ext>
            <a:ext uri="{147F2762-F138-4A5C-976F-8EAC2B608ADB}">
              <a16:predDERef xmlns:a16="http://schemas.microsoft.com/office/drawing/2014/main" pred="{216705B1-58CD-44E5-9F6A-8AB486C66754}"/>
            </a:ext>
          </a:extLst>
        </xdr:cNvPr>
        <xdr:cNvSpPr/>
      </xdr:nvSpPr>
      <xdr:spPr>
        <a:xfrm>
          <a:off x="25793700" y="2464117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0</xdr:colOff>
      <xdr:row>74</xdr:row>
      <xdr:rowOff>123825</xdr:rowOff>
    </xdr:from>
    <xdr:to>
      <xdr:col>38</xdr:col>
      <xdr:colOff>295275</xdr:colOff>
      <xdr:row>74</xdr:row>
      <xdr:rowOff>381000</xdr:rowOff>
    </xdr:to>
    <xdr:sp macro="" textlink="">
      <xdr:nvSpPr>
        <xdr:cNvPr id="58" name="Rectangle 102">
          <a:extLst>
            <a:ext uri="{FF2B5EF4-FFF2-40B4-BE49-F238E27FC236}">
              <a16:creationId xmlns:a16="http://schemas.microsoft.com/office/drawing/2014/main" id="{6B563DA8-B67E-4A38-B2BF-5B5AA88290C6}"/>
            </a:ext>
            <a:ext uri="{147F2762-F138-4A5C-976F-8EAC2B608ADB}">
              <a16:predDERef xmlns:a16="http://schemas.microsoft.com/office/drawing/2014/main" pred="{5F9E3068-A23D-4F34-90B1-0801FA427303}"/>
            </a:ext>
          </a:extLst>
        </xdr:cNvPr>
        <xdr:cNvSpPr/>
      </xdr:nvSpPr>
      <xdr:spPr>
        <a:xfrm>
          <a:off x="25793700" y="2509837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0</xdr:colOff>
      <xdr:row>75</xdr:row>
      <xdr:rowOff>133350</xdr:rowOff>
    </xdr:from>
    <xdr:to>
      <xdr:col>38</xdr:col>
      <xdr:colOff>295275</xdr:colOff>
      <xdr:row>75</xdr:row>
      <xdr:rowOff>390525</xdr:rowOff>
    </xdr:to>
    <xdr:sp macro="" textlink="">
      <xdr:nvSpPr>
        <xdr:cNvPr id="59" name="Rectangle 103">
          <a:extLst>
            <a:ext uri="{FF2B5EF4-FFF2-40B4-BE49-F238E27FC236}">
              <a16:creationId xmlns:a16="http://schemas.microsoft.com/office/drawing/2014/main" id="{F33A5793-BD55-419F-B34F-149E83A76125}"/>
            </a:ext>
            <a:ext uri="{147F2762-F138-4A5C-976F-8EAC2B608ADB}">
              <a16:predDERef xmlns:a16="http://schemas.microsoft.com/office/drawing/2014/main" pred="{6B563DA8-B67E-4A38-B2BF-5B5AA88290C6}"/>
            </a:ext>
          </a:extLst>
        </xdr:cNvPr>
        <xdr:cNvSpPr/>
      </xdr:nvSpPr>
      <xdr:spPr>
        <a:xfrm>
          <a:off x="25793700" y="25565100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0</xdr:colOff>
      <xdr:row>76</xdr:row>
      <xdr:rowOff>142875</xdr:rowOff>
    </xdr:from>
    <xdr:to>
      <xdr:col>38</xdr:col>
      <xdr:colOff>295275</xdr:colOff>
      <xdr:row>76</xdr:row>
      <xdr:rowOff>400050</xdr:rowOff>
    </xdr:to>
    <xdr:sp macro="" textlink="">
      <xdr:nvSpPr>
        <xdr:cNvPr id="60" name="Rectangle 104">
          <a:extLst>
            <a:ext uri="{FF2B5EF4-FFF2-40B4-BE49-F238E27FC236}">
              <a16:creationId xmlns:a16="http://schemas.microsoft.com/office/drawing/2014/main" id="{E897E699-1032-4CE2-B8B3-FECD329C8AA9}"/>
            </a:ext>
            <a:ext uri="{147F2762-F138-4A5C-976F-8EAC2B608ADB}">
              <a16:predDERef xmlns:a16="http://schemas.microsoft.com/office/drawing/2014/main" pred="{F33A5793-BD55-419F-B34F-149E83A76125}"/>
            </a:ext>
          </a:extLst>
        </xdr:cNvPr>
        <xdr:cNvSpPr/>
      </xdr:nvSpPr>
      <xdr:spPr>
        <a:xfrm>
          <a:off x="25793700" y="2603182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0</xdr:colOff>
      <xdr:row>77</xdr:row>
      <xdr:rowOff>180975</xdr:rowOff>
    </xdr:from>
    <xdr:to>
      <xdr:col>38</xdr:col>
      <xdr:colOff>295275</xdr:colOff>
      <xdr:row>77</xdr:row>
      <xdr:rowOff>438150</xdr:rowOff>
    </xdr:to>
    <xdr:sp macro="" textlink="">
      <xdr:nvSpPr>
        <xdr:cNvPr id="61" name="Rectangle 105">
          <a:extLst>
            <a:ext uri="{FF2B5EF4-FFF2-40B4-BE49-F238E27FC236}">
              <a16:creationId xmlns:a16="http://schemas.microsoft.com/office/drawing/2014/main" id="{B84C9408-B238-47A2-AD40-A5E8D7B11B70}"/>
            </a:ext>
            <a:ext uri="{147F2762-F138-4A5C-976F-8EAC2B608ADB}">
              <a16:predDERef xmlns:a16="http://schemas.microsoft.com/office/drawing/2014/main" pred="{E897E699-1032-4CE2-B8B3-FECD329C8AA9}"/>
            </a:ext>
          </a:extLst>
        </xdr:cNvPr>
        <xdr:cNvSpPr/>
      </xdr:nvSpPr>
      <xdr:spPr>
        <a:xfrm>
          <a:off x="25793700" y="26527125"/>
          <a:ext cx="295275" cy="25717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9525</xdr:colOff>
      <xdr:row>87</xdr:row>
      <xdr:rowOff>1057275</xdr:rowOff>
    </xdr:from>
    <xdr:to>
      <xdr:col>3</xdr:col>
      <xdr:colOff>1666875</xdr:colOff>
      <xdr:row>95</xdr:row>
      <xdr:rowOff>1057275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5008631-B5A1-8AE8-A560-F6EFC9774556}"/>
            </a:ext>
            <a:ext uri="{147F2762-F138-4A5C-976F-8EAC2B608ADB}">
              <a16:predDERef xmlns:a16="http://schemas.microsoft.com/office/drawing/2014/main" pred="{B84C9408-B238-47A2-AD40-A5E8D7B11B70}"/>
            </a:ext>
          </a:extLst>
        </xdr:cNvPr>
        <xdr:cNvCxnSpPr>
          <a:cxnSpLocks/>
        </xdr:cNvCxnSpPr>
      </xdr:nvCxnSpPr>
      <xdr:spPr>
        <a:xfrm flipV="1">
          <a:off x="9525" y="120557925"/>
          <a:ext cx="4657725" cy="8763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345856</xdr:colOff>
      <xdr:row>11</xdr:row>
      <xdr:rowOff>228600</xdr:rowOff>
    </xdr:from>
    <xdr:to>
      <xdr:col>38</xdr:col>
      <xdr:colOff>831631</xdr:colOff>
      <xdr:row>11</xdr:row>
      <xdr:rowOff>695325</xdr:rowOff>
    </xdr:to>
    <xdr:sp macro="" textlink="">
      <xdr:nvSpPr>
        <xdr:cNvPr id="62" name="Rectangle 64">
          <a:extLst>
            <a:ext uri="{FF2B5EF4-FFF2-40B4-BE49-F238E27FC236}">
              <a16:creationId xmlns:a16="http://schemas.microsoft.com/office/drawing/2014/main" id="{5AF0F8E5-A246-49FF-BBF6-55B79348CB25}"/>
            </a:ext>
            <a:ext uri="{147F2762-F138-4A5C-976F-8EAC2B608ADB}">
              <a16:predDERef xmlns:a16="http://schemas.microsoft.com/office/drawing/2014/main" pred="{7070558F-8272-4C99-9DD8-803433625BAD}"/>
            </a:ext>
          </a:extLst>
        </xdr:cNvPr>
        <xdr:cNvSpPr/>
      </xdr:nvSpPr>
      <xdr:spPr>
        <a:xfrm>
          <a:off x="26358631" y="4657725"/>
          <a:ext cx="485775" cy="4667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342900</xdr:colOff>
      <xdr:row>12</xdr:row>
      <xdr:rowOff>38100</xdr:rowOff>
    </xdr:from>
    <xdr:to>
      <xdr:col>38</xdr:col>
      <xdr:colOff>828675</xdr:colOff>
      <xdr:row>13</xdr:row>
      <xdr:rowOff>238125</xdr:rowOff>
    </xdr:to>
    <xdr:sp macro="" textlink="">
      <xdr:nvSpPr>
        <xdr:cNvPr id="64" name="Rectangle 65">
          <a:extLst>
            <a:ext uri="{FF2B5EF4-FFF2-40B4-BE49-F238E27FC236}">
              <a16:creationId xmlns:a16="http://schemas.microsoft.com/office/drawing/2014/main" id="{59846FDA-5C18-44C2-BA0A-97205E110B1C}"/>
            </a:ext>
            <a:ext uri="{147F2762-F138-4A5C-976F-8EAC2B608ADB}">
              <a16:predDERef xmlns:a16="http://schemas.microsoft.com/office/drawing/2014/main" pred="{E63C932E-630C-40E3-B784-6DC65BBAF2AC}"/>
            </a:ext>
          </a:extLst>
        </xdr:cNvPr>
        <xdr:cNvSpPr/>
      </xdr:nvSpPr>
      <xdr:spPr>
        <a:xfrm>
          <a:off x="26355675" y="5372100"/>
          <a:ext cx="485775" cy="466725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0</xdr:col>
      <xdr:colOff>238126</xdr:colOff>
      <xdr:row>11</xdr:row>
      <xdr:rowOff>111919</xdr:rowOff>
    </xdr:from>
    <xdr:to>
      <xdr:col>0</xdr:col>
      <xdr:colOff>892970</xdr:colOff>
      <xdr:row>11</xdr:row>
      <xdr:rowOff>769322</xdr:rowOff>
    </xdr:to>
    <xdr:pic>
      <xdr:nvPicPr>
        <xdr:cNvPr id="165" name="Picture 164" descr="Cutting welding: Más de 4,232 ilustraciones y dibujos de stock con licencia  libres de regalías | Shutterstock">
          <a:extLst>
            <a:ext uri="{FF2B5EF4-FFF2-40B4-BE49-F238E27FC236}">
              <a16:creationId xmlns:a16="http://schemas.microsoft.com/office/drawing/2014/main" id="{E7780871-EB3D-400B-92B4-46E0B5643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6" y="4541044"/>
          <a:ext cx="654844" cy="657403"/>
        </a:xfrm>
        <a:prstGeom prst="ellipse">
          <a:avLst/>
        </a:prstGeom>
        <a:ln w="9525" cap="rnd">
          <a:solidFill>
            <a:sysClr val="windowText" lastClr="000000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13</xdr:row>
      <xdr:rowOff>123825</xdr:rowOff>
    </xdr:from>
    <xdr:to>
      <xdr:col>0</xdr:col>
      <xdr:colOff>885825</xdr:colOff>
      <xdr:row>15</xdr:row>
      <xdr:rowOff>238125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6F08FA04-5899-4324-BF9E-E69D9D0349A3}"/>
            </a:ext>
            <a:ext uri="{147F2762-F138-4A5C-976F-8EAC2B608ADB}">
              <a16:predDERef xmlns:a16="http://schemas.microsoft.com/office/drawing/2014/main" pred="{7BB73AD1-00C4-4939-A9DA-C80ED06B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5724525"/>
          <a:ext cx="704850" cy="647700"/>
        </a:xfrm>
        <a:prstGeom prst="ellipse">
          <a:avLst/>
        </a:prstGeom>
        <a:ln w="635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155572</xdr:colOff>
      <xdr:row>17</xdr:row>
      <xdr:rowOff>126205</xdr:rowOff>
    </xdr:from>
    <xdr:to>
      <xdr:col>0</xdr:col>
      <xdr:colOff>865015</xdr:colOff>
      <xdr:row>19</xdr:row>
      <xdr:rowOff>239711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4D188248-6636-4AB7-B3FB-CD827C9C667B}"/>
            </a:ext>
            <a:ext uri="{147F2762-F138-4A5C-976F-8EAC2B608ADB}">
              <a16:predDERef xmlns:a16="http://schemas.microsoft.com/office/drawing/2014/main" pred="{F429B15E-E8B5-423E-BB75-B35FB523A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572" y="6793705"/>
          <a:ext cx="709443" cy="646906"/>
        </a:xfrm>
        <a:prstGeom prst="ellipse">
          <a:avLst/>
        </a:prstGeom>
        <a:ln w="9525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0</xdr:col>
      <xdr:colOff>123825</xdr:colOff>
      <xdr:row>22</xdr:row>
      <xdr:rowOff>76200</xdr:rowOff>
    </xdr:from>
    <xdr:to>
      <xdr:col>0</xdr:col>
      <xdr:colOff>885057</xdr:colOff>
      <xdr:row>25</xdr:row>
      <xdr:rowOff>0</xdr:rowOff>
    </xdr:to>
    <xdr:pic>
      <xdr:nvPicPr>
        <xdr:cNvPr id="168" name="Picture 167" descr="Icono del trabajador parado junto a: vector de stock (libre de regalías)  1947263959 | Shutterstock">
          <a:extLst>
            <a:ext uri="{FF2B5EF4-FFF2-40B4-BE49-F238E27FC236}">
              <a16:creationId xmlns:a16="http://schemas.microsoft.com/office/drawing/2014/main" id="{1ADFB019-0556-4179-BBBC-173EB6F1C028}"/>
            </a:ext>
            <a:ext uri="{147F2762-F138-4A5C-976F-8EAC2B608ADB}">
              <a16:predDERef xmlns:a16="http://schemas.microsoft.com/office/drawing/2014/main" pred="{3D775371-DAD7-4F12-B81D-85F26BB8F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077200"/>
          <a:ext cx="761232" cy="723900"/>
        </a:xfrm>
        <a:prstGeom prst="ellipse">
          <a:avLst/>
        </a:prstGeom>
        <a:ln w="12700" cap="rnd">
          <a:solidFill>
            <a:srgbClr val="333333"/>
          </a:solidFill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625078</xdr:colOff>
      <xdr:row>11</xdr:row>
      <xdr:rowOff>57150</xdr:rowOff>
    </xdr:from>
    <xdr:to>
      <xdr:col>11</xdr:col>
      <xdr:colOff>472678</xdr:colOff>
      <xdr:row>12</xdr:row>
      <xdr:rowOff>1190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D5B2E446-701F-4DA9-A2EA-544C8D96682F}"/>
            </a:ext>
            <a:ext uri="{147F2762-F138-4A5C-976F-8EAC2B608ADB}">
              <a16:predDERef xmlns:a16="http://schemas.microsoft.com/office/drawing/2014/main" pred="{DB5F694D-2D81-49A1-804D-83F238B8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78928" y="4486275"/>
          <a:ext cx="952500" cy="848915"/>
        </a:xfrm>
        <a:prstGeom prst="rect">
          <a:avLst/>
        </a:prstGeom>
      </xdr:spPr>
    </xdr:pic>
    <xdr:clientData/>
  </xdr:twoCellAnchor>
  <xdr:twoCellAnchor editAs="oneCell">
    <xdr:from>
      <xdr:col>6</xdr:col>
      <xdr:colOff>742950</xdr:colOff>
      <xdr:row>11</xdr:row>
      <xdr:rowOff>826294</xdr:rowOff>
    </xdr:from>
    <xdr:to>
      <xdr:col>11</xdr:col>
      <xdr:colOff>323850</xdr:colOff>
      <xdr:row>14</xdr:row>
      <xdr:rowOff>111919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CD8FBA42-4AF7-4A38-BAD6-1A14B839C603}"/>
            </a:ext>
            <a:ext uri="{147F2762-F138-4A5C-976F-8EAC2B608ADB}">
              <a16:predDERef xmlns:a16="http://schemas.microsoft.com/office/drawing/2014/main" pred="{9EDA026D-577D-5740-E55A-5F5892B52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96800" y="5255419"/>
          <a:ext cx="685800" cy="723900"/>
        </a:xfrm>
        <a:prstGeom prst="rect">
          <a:avLst/>
        </a:prstGeom>
      </xdr:spPr>
    </xdr:pic>
    <xdr:clientData/>
  </xdr:twoCellAnchor>
  <xdr:twoCellAnchor editAs="oneCell">
    <xdr:from>
      <xdr:col>6</xdr:col>
      <xdr:colOff>734615</xdr:colOff>
      <xdr:row>15</xdr:row>
      <xdr:rowOff>65484</xdr:rowOff>
    </xdr:from>
    <xdr:to>
      <xdr:col>11</xdr:col>
      <xdr:colOff>296465</xdr:colOff>
      <xdr:row>17</xdr:row>
      <xdr:rowOff>198834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6EF824BC-B10B-4BCF-95B6-E8C3482D7045}"/>
            </a:ext>
            <a:ext uri="{147F2762-F138-4A5C-976F-8EAC2B608ADB}">
              <a16:predDERef xmlns:a16="http://schemas.microsoft.com/office/drawing/2014/main" pred="{B545A5F9-C3FA-4575-86FE-430087B8A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88465" y="6199584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18</xdr:row>
      <xdr:rowOff>152401</xdr:rowOff>
    </xdr:from>
    <xdr:to>
      <xdr:col>11</xdr:col>
      <xdr:colOff>400050</xdr:colOff>
      <xdr:row>21</xdr:row>
      <xdr:rowOff>95251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EBB104D6-E1D0-433E-8567-FC9DB7A7A3E4}"/>
            </a:ext>
            <a:ext uri="{147F2762-F138-4A5C-976F-8EAC2B608ADB}">
              <a16:predDERef xmlns:a16="http://schemas.microsoft.com/office/drawing/2014/main" pred="{A5FDDF02-3EF7-853D-0DC3-41CAE089E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53925" y="7086601"/>
          <a:ext cx="904875" cy="742950"/>
        </a:xfrm>
        <a:prstGeom prst="rect">
          <a:avLst/>
        </a:prstGeom>
      </xdr:spPr>
    </xdr:pic>
    <xdr:clientData/>
  </xdr:twoCellAnchor>
  <xdr:twoCellAnchor editAs="oneCell">
    <xdr:from>
      <xdr:col>34</xdr:col>
      <xdr:colOff>1666875</xdr:colOff>
      <xdr:row>18</xdr:row>
      <xdr:rowOff>171450</xdr:rowOff>
    </xdr:from>
    <xdr:to>
      <xdr:col>34</xdr:col>
      <xdr:colOff>2314575</xdr:colOff>
      <xdr:row>21</xdr:row>
      <xdr:rowOff>66675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AF4A1937-80B2-4A86-B292-28638351A279}"/>
            </a:ext>
            <a:ext uri="{147F2762-F138-4A5C-976F-8EAC2B608ADB}">
              <a16:predDERef xmlns:a16="http://schemas.microsoft.com/office/drawing/2014/main" pred="{6EEC6808-18F6-DC0F-15E0-7557A72EA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412200" y="7105650"/>
          <a:ext cx="647700" cy="695325"/>
        </a:xfrm>
        <a:prstGeom prst="rect">
          <a:avLst/>
        </a:prstGeom>
      </xdr:spPr>
    </xdr:pic>
    <xdr:clientData/>
  </xdr:twoCellAnchor>
  <xdr:twoCellAnchor editAs="oneCell">
    <xdr:from>
      <xdr:col>34</xdr:col>
      <xdr:colOff>1724025</xdr:colOff>
      <xdr:row>22</xdr:row>
      <xdr:rowOff>142875</xdr:rowOff>
    </xdr:from>
    <xdr:to>
      <xdr:col>34</xdr:col>
      <xdr:colOff>2314575</xdr:colOff>
      <xdr:row>25</xdr:row>
      <xdr:rowOff>104775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76430231-0068-46B2-AC2C-98734CE89F73}"/>
            </a:ext>
            <a:ext uri="{147F2762-F138-4A5C-976F-8EAC2B608ADB}">
              <a16:predDERef xmlns:a16="http://schemas.microsoft.com/office/drawing/2014/main" pred="{BB71919C-1BA9-5CCD-617A-642237DF2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73039">
          <a:off x="21469350" y="8143875"/>
          <a:ext cx="590550" cy="762000"/>
        </a:xfrm>
        <a:prstGeom prst="rect">
          <a:avLst/>
        </a:prstGeom>
      </xdr:spPr>
    </xdr:pic>
    <xdr:clientData/>
  </xdr:twoCellAnchor>
  <xdr:twoCellAnchor editAs="oneCell">
    <xdr:from>
      <xdr:col>6</xdr:col>
      <xdr:colOff>627460</xdr:colOff>
      <xdr:row>22</xdr:row>
      <xdr:rowOff>173831</xdr:rowOff>
    </xdr:from>
    <xdr:to>
      <xdr:col>11</xdr:col>
      <xdr:colOff>370285</xdr:colOff>
      <xdr:row>25</xdr:row>
      <xdr:rowOff>105966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20D5104B-F0F0-4A0F-ADF9-55FB699B310D}"/>
            </a:ext>
            <a:ext uri="{147F2762-F138-4A5C-976F-8EAC2B608ADB}">
              <a16:predDERef xmlns:a16="http://schemas.microsoft.com/office/drawing/2014/main" pred="{1B5C9305-AF2F-CFD7-6476-4BE16D23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81310" y="8174831"/>
          <a:ext cx="847725" cy="732235"/>
        </a:xfrm>
        <a:prstGeom prst="rect">
          <a:avLst/>
        </a:prstGeom>
      </xdr:spPr>
    </xdr:pic>
    <xdr:clientData/>
  </xdr:twoCellAnchor>
  <xdr:twoCellAnchor editAs="oneCell">
    <xdr:from>
      <xdr:col>34</xdr:col>
      <xdr:colOff>1743075</xdr:colOff>
      <xdr:row>11</xdr:row>
      <xdr:rowOff>171450</xdr:rowOff>
    </xdr:from>
    <xdr:to>
      <xdr:col>34</xdr:col>
      <xdr:colOff>2286000</xdr:colOff>
      <xdr:row>11</xdr:row>
      <xdr:rowOff>847725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485CF472-2C32-4C46-A1D8-5FDBFC1CF8FD}"/>
            </a:ext>
            <a:ext uri="{147F2762-F138-4A5C-976F-8EAC2B608ADB}">
              <a16:predDERef xmlns:a16="http://schemas.microsoft.com/office/drawing/2014/main" pred="{69413DC8-F619-C6E1-6957-3F40C9DB5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13145" r="3193"/>
        <a:stretch/>
      </xdr:blipFill>
      <xdr:spPr>
        <a:xfrm>
          <a:off x="21488400" y="4600575"/>
          <a:ext cx="542925" cy="676275"/>
        </a:xfrm>
        <a:prstGeom prst="rect">
          <a:avLst/>
        </a:prstGeom>
      </xdr:spPr>
    </xdr:pic>
    <xdr:clientData/>
  </xdr:twoCellAnchor>
  <xdr:twoCellAnchor editAs="oneCell">
    <xdr:from>
      <xdr:col>34</xdr:col>
      <xdr:colOff>1781175</xdr:colOff>
      <xdr:row>15</xdr:row>
      <xdr:rowOff>95250</xdr:rowOff>
    </xdr:from>
    <xdr:to>
      <xdr:col>34</xdr:col>
      <xdr:colOff>2276475</xdr:colOff>
      <xdr:row>17</xdr:row>
      <xdr:rowOff>104775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43E28EAF-CA16-47C4-BCCB-04B0CB890142}"/>
            </a:ext>
            <a:ext uri="{147F2762-F138-4A5C-976F-8EAC2B608ADB}">
              <a16:predDERef xmlns:a16="http://schemas.microsoft.com/office/drawing/2014/main" pred="{703D2607-2776-827D-48E1-1B489EC7A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526500" y="6229350"/>
          <a:ext cx="495300" cy="542925"/>
        </a:xfrm>
        <a:prstGeom prst="rect">
          <a:avLst/>
        </a:prstGeom>
      </xdr:spPr>
    </xdr:pic>
    <xdr:clientData/>
  </xdr:twoCellAnchor>
  <xdr:twoCellAnchor editAs="oneCell">
    <xdr:from>
      <xdr:col>34</xdr:col>
      <xdr:colOff>1638300</xdr:colOff>
      <xdr:row>11</xdr:row>
      <xdr:rowOff>876300</xdr:rowOff>
    </xdr:from>
    <xdr:to>
      <xdr:col>34</xdr:col>
      <xdr:colOff>2362200</xdr:colOff>
      <xdr:row>14</xdr:row>
      <xdr:rowOff>161925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7CB2AC32-F95C-4948-A095-F874B4B7C884}"/>
            </a:ext>
            <a:ext uri="{147F2762-F138-4A5C-976F-8EAC2B608ADB}">
              <a16:predDERef xmlns:a16="http://schemas.microsoft.com/office/drawing/2014/main" pred="{E22C1C2C-4BCD-C013-DA7D-5AC8C41E4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383625" y="5305425"/>
          <a:ext cx="723900" cy="723900"/>
        </a:xfrm>
        <a:prstGeom prst="rect">
          <a:avLst/>
        </a:prstGeom>
      </xdr:spPr>
    </xdr:pic>
    <xdr:clientData/>
  </xdr:twoCellAnchor>
  <xdr:twoCellAnchor>
    <xdr:from>
      <xdr:col>5</xdr:col>
      <xdr:colOff>291191</xdr:colOff>
      <xdr:row>11</xdr:row>
      <xdr:rowOff>228600</xdr:rowOff>
    </xdr:from>
    <xdr:to>
      <xdr:col>5</xdr:col>
      <xdr:colOff>776966</xdr:colOff>
      <xdr:row>11</xdr:row>
      <xdr:rowOff>695325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540E1E2D-0375-4695-8C7D-BAAD4848984E}"/>
            </a:ext>
            <a:ext uri="{147F2762-F138-4A5C-976F-8EAC2B608ADB}">
              <a16:predDERef xmlns:a16="http://schemas.microsoft.com/office/drawing/2014/main" pred="{5506534F-C96C-E500-6CFA-776A3692AFCC}"/>
            </a:ext>
          </a:extLst>
        </xdr:cNvPr>
        <xdr:cNvSpPr/>
      </xdr:nvSpPr>
      <xdr:spPr>
        <a:xfrm>
          <a:off x="9901916" y="4657725"/>
          <a:ext cx="485775" cy="4667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5</xdr:col>
      <xdr:colOff>281666</xdr:colOff>
      <xdr:row>13</xdr:row>
      <xdr:rowOff>200025</xdr:rowOff>
    </xdr:from>
    <xdr:to>
      <xdr:col>5</xdr:col>
      <xdr:colOff>767441</xdr:colOff>
      <xdr:row>15</xdr:row>
      <xdr:rowOff>133350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A626646-FBAC-4DFA-869D-E804E652FF34}"/>
            </a:ext>
            <a:ext uri="{147F2762-F138-4A5C-976F-8EAC2B608ADB}">
              <a16:predDERef xmlns:a16="http://schemas.microsoft.com/office/drawing/2014/main" pred="{E49D04E0-0FB0-662C-9371-13676CE58608}"/>
            </a:ext>
          </a:extLst>
        </xdr:cNvPr>
        <xdr:cNvSpPr/>
      </xdr:nvSpPr>
      <xdr:spPr>
        <a:xfrm>
          <a:off x="9892391" y="5800725"/>
          <a:ext cx="485775" cy="4667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281666</xdr:colOff>
      <xdr:row>17</xdr:row>
      <xdr:rowOff>180975</xdr:rowOff>
    </xdr:from>
    <xdr:to>
      <xdr:col>5</xdr:col>
      <xdr:colOff>767441</xdr:colOff>
      <xdr:row>19</xdr:row>
      <xdr:rowOff>114300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9A1CF240-D27B-4175-B537-C891FEB9619D}"/>
            </a:ext>
            <a:ext uri="{147F2762-F138-4A5C-976F-8EAC2B608ADB}">
              <a16:predDERef xmlns:a16="http://schemas.microsoft.com/office/drawing/2014/main" pred="{8EB284CF-EDC0-4B03-8016-A801FD7D1430}"/>
            </a:ext>
          </a:extLst>
        </xdr:cNvPr>
        <xdr:cNvSpPr/>
      </xdr:nvSpPr>
      <xdr:spPr>
        <a:xfrm>
          <a:off x="9892391" y="6848475"/>
          <a:ext cx="485775" cy="466725"/>
        </a:xfrm>
        <a:prstGeom prst="rect">
          <a:avLst/>
        </a:prstGeom>
        <a:solidFill>
          <a:srgbClr val="FFFF0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272141</xdr:colOff>
      <xdr:row>22</xdr:row>
      <xdr:rowOff>180975</xdr:rowOff>
    </xdr:from>
    <xdr:to>
      <xdr:col>5</xdr:col>
      <xdr:colOff>757916</xdr:colOff>
      <xdr:row>24</xdr:row>
      <xdr:rowOff>114300</xdr:rowOff>
    </xdr:to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2282BE2D-A045-4A34-B44A-F45568705732}"/>
            </a:ext>
            <a:ext uri="{147F2762-F138-4A5C-976F-8EAC2B608ADB}">
              <a16:predDERef xmlns:a16="http://schemas.microsoft.com/office/drawing/2014/main" pred="{0D56177F-08C5-4CB8-B770-F2617FB32A1C}"/>
            </a:ext>
          </a:extLst>
        </xdr:cNvPr>
        <xdr:cNvSpPr/>
      </xdr:nvSpPr>
      <xdr:spPr>
        <a:xfrm>
          <a:off x="9882866" y="8181975"/>
          <a:ext cx="485775" cy="46672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349591</xdr:colOff>
      <xdr:row>15</xdr:row>
      <xdr:rowOff>33704</xdr:rowOff>
    </xdr:from>
    <xdr:to>
      <xdr:col>38</xdr:col>
      <xdr:colOff>835366</xdr:colOff>
      <xdr:row>16</xdr:row>
      <xdr:rowOff>230799</xdr:rowOff>
    </xdr:to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832E0D6B-3DBF-4C01-827B-156609E8569B}"/>
            </a:ext>
            <a:ext uri="{147F2762-F138-4A5C-976F-8EAC2B608ADB}">
              <a16:predDERef xmlns:a16="http://schemas.microsoft.com/office/drawing/2014/main" pred="{77747DA7-ED26-4C7E-9F0B-32B65856FCBC}"/>
            </a:ext>
          </a:extLst>
        </xdr:cNvPr>
        <xdr:cNvSpPr/>
      </xdr:nvSpPr>
      <xdr:spPr>
        <a:xfrm>
          <a:off x="28300539" y="6188825"/>
          <a:ext cx="485775" cy="466422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38</xdr:col>
      <xdr:colOff>375867</xdr:colOff>
      <xdr:row>23</xdr:row>
      <xdr:rowOff>41031</xdr:rowOff>
    </xdr:from>
    <xdr:to>
      <xdr:col>38</xdr:col>
      <xdr:colOff>861642</xdr:colOff>
      <xdr:row>24</xdr:row>
      <xdr:rowOff>238126</xdr:rowOff>
    </xdr:to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74665C9-05C8-4480-91B4-E4D919F5C3B1}"/>
            </a:ext>
            <a:ext uri="{147F2762-F138-4A5C-976F-8EAC2B608ADB}">
              <a16:predDERef xmlns:a16="http://schemas.microsoft.com/office/drawing/2014/main" pred="{A5E71B0E-A46E-492E-AA7C-5AE2AD6F1C7D}"/>
            </a:ext>
          </a:extLst>
        </xdr:cNvPr>
        <xdr:cNvSpPr/>
      </xdr:nvSpPr>
      <xdr:spPr>
        <a:xfrm>
          <a:off x="28093617" y="8308731"/>
          <a:ext cx="485775" cy="463795"/>
        </a:xfrm>
        <a:prstGeom prst="rect">
          <a:avLst/>
        </a:prstGeom>
        <a:noFill/>
        <a:ln w="381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E841-4382-42DE-B113-258D50D08C0F}">
  <dimension ref="A1:AQ80"/>
  <sheetViews>
    <sheetView showGridLines="0" view="pageBreakPreview" topLeftCell="A66" zoomScale="60" zoomScaleNormal="60" zoomScalePageLayoutView="40" workbookViewId="0">
      <selection activeCell="A69" sqref="A69:D69"/>
    </sheetView>
  </sheetViews>
  <sheetFormatPr defaultColWidth="8.7109375" defaultRowHeight="18.75"/>
  <cols>
    <col min="1" max="1" width="18.28515625" style="6" customWidth="1"/>
    <col min="2" max="2" width="3.140625" style="6" customWidth="1"/>
    <col min="3" max="3" width="23.5703125" style="6" customWidth="1"/>
    <col min="4" max="4" width="25.42578125" style="6" customWidth="1"/>
    <col min="5" max="5" width="63.7109375" style="6" customWidth="1"/>
    <col min="6" max="6" width="29.85546875" style="6" customWidth="1"/>
    <col min="7" max="7" width="15.42578125" style="6" customWidth="1"/>
    <col min="8" max="11" width="29.85546875" style="6" hidden="1" customWidth="1"/>
    <col min="12" max="12" width="14.5703125" style="6" customWidth="1"/>
    <col min="13" max="16" width="29.85546875" style="6" hidden="1" customWidth="1"/>
    <col min="17" max="17" width="17.140625" style="6" customWidth="1"/>
    <col min="18" max="26" width="29.85546875" style="6" hidden="1" customWidth="1"/>
    <col min="27" max="27" width="16" style="6" customWidth="1"/>
    <col min="28" max="31" width="29.85546875" style="6" hidden="1" customWidth="1"/>
    <col min="32" max="32" width="19.28515625" style="6" customWidth="1"/>
    <col min="33" max="33" width="11.28515625" style="6" customWidth="1"/>
    <col min="34" max="34" width="17.85546875" style="6" customWidth="1"/>
    <col min="35" max="35" width="40.85546875" style="6" customWidth="1"/>
    <col min="36" max="36" width="28.42578125" style="6" customWidth="1"/>
    <col min="37" max="38" width="21" style="6" customWidth="1"/>
    <col min="39" max="39" width="37.42578125" style="6" customWidth="1"/>
    <col min="40" max="16384" width="8.7109375" style="6"/>
  </cols>
  <sheetData>
    <row r="1" spans="1:40" ht="36" customHeight="1" thickBot="1">
      <c r="A1" s="223" t="s">
        <v>152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5"/>
    </row>
    <row r="2" spans="1:40" ht="41.25" customHeight="1">
      <c r="A2" s="226" t="s">
        <v>175</v>
      </c>
      <c r="B2" s="214"/>
      <c r="C2" s="214"/>
      <c r="D2" s="220"/>
      <c r="E2" s="220"/>
      <c r="F2" s="220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19"/>
      <c r="AF2" s="219"/>
      <c r="AG2" s="219"/>
      <c r="AH2" s="220"/>
      <c r="AI2" s="220"/>
      <c r="AJ2" s="220"/>
      <c r="AK2" s="220"/>
      <c r="AL2" s="221"/>
      <c r="AM2" s="100" t="s">
        <v>176</v>
      </c>
    </row>
    <row r="3" spans="1:40" ht="30" customHeight="1">
      <c r="A3" s="226" t="s">
        <v>174</v>
      </c>
      <c r="B3" s="214"/>
      <c r="C3" s="214"/>
      <c r="D3" s="227"/>
      <c r="E3" s="227"/>
      <c r="F3" s="227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28" t="s">
        <v>1</v>
      </c>
      <c r="AI3" s="228"/>
      <c r="AJ3" s="228"/>
      <c r="AK3" s="36" t="s">
        <v>2</v>
      </c>
      <c r="AL3" s="37" t="s">
        <v>3</v>
      </c>
      <c r="AM3" s="38" t="s">
        <v>177</v>
      </c>
    </row>
    <row r="4" spans="1:40" ht="30" customHeight="1">
      <c r="A4" s="243" t="s">
        <v>173</v>
      </c>
      <c r="B4" s="244"/>
      <c r="C4" s="244"/>
      <c r="D4" s="227"/>
      <c r="E4" s="227"/>
      <c r="F4" s="227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  <c r="AD4" s="219"/>
      <c r="AE4" s="219"/>
      <c r="AF4" s="219"/>
      <c r="AG4" s="219"/>
      <c r="AH4" s="207" t="s">
        <v>183</v>
      </c>
      <c r="AI4" s="208"/>
      <c r="AJ4" s="209"/>
      <c r="AK4" s="40"/>
      <c r="AL4" s="41"/>
      <c r="AM4" s="38" t="s">
        <v>178</v>
      </c>
    </row>
    <row r="5" spans="1:40" ht="30" customHeight="1">
      <c r="A5" s="229" t="s">
        <v>4</v>
      </c>
      <c r="B5" s="228"/>
      <c r="C5" s="228"/>
      <c r="D5" s="230"/>
      <c r="E5" s="227"/>
      <c r="F5" s="231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0" t="s">
        <v>184</v>
      </c>
      <c r="AI5" s="211"/>
      <c r="AJ5" s="212"/>
      <c r="AK5" s="40"/>
      <c r="AL5" s="41"/>
      <c r="AM5" s="38" t="s">
        <v>179</v>
      </c>
    </row>
    <row r="6" spans="1:40" ht="30" customHeight="1">
      <c r="A6" s="229"/>
      <c r="B6" s="228"/>
      <c r="C6" s="228"/>
      <c r="D6" s="230"/>
      <c r="E6" s="227"/>
      <c r="F6" s="231"/>
      <c r="G6" s="219"/>
      <c r="H6" s="219"/>
      <c r="I6" s="219"/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0" t="s">
        <v>185</v>
      </c>
      <c r="AI6" s="211"/>
      <c r="AJ6" s="212"/>
      <c r="AK6" s="42"/>
      <c r="AL6" s="41"/>
      <c r="AM6" s="38" t="s">
        <v>180</v>
      </c>
    </row>
    <row r="7" spans="1:40" ht="30" customHeight="1">
      <c r="A7" s="229"/>
      <c r="B7" s="228"/>
      <c r="C7" s="228"/>
      <c r="D7" s="232"/>
      <c r="E7" s="232"/>
      <c r="F7" s="232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10" t="s">
        <v>186</v>
      </c>
      <c r="AI7" s="211"/>
      <c r="AJ7" s="213"/>
      <c r="AK7" s="43"/>
      <c r="AL7" s="44"/>
      <c r="AM7" s="38" t="s">
        <v>181</v>
      </c>
    </row>
    <row r="8" spans="1:40" ht="30" customHeight="1" thickBot="1">
      <c r="A8" s="222" t="s">
        <v>5</v>
      </c>
      <c r="B8" s="222"/>
      <c r="C8" s="222"/>
      <c r="D8" s="102"/>
      <c r="E8" s="102"/>
      <c r="F8" s="35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4"/>
      <c r="AB8" s="39"/>
      <c r="AC8" s="39"/>
      <c r="AD8" s="39"/>
      <c r="AE8" s="39"/>
      <c r="AF8" s="236" t="s">
        <v>188</v>
      </c>
      <c r="AG8" s="237"/>
      <c r="AH8" s="205" t="s">
        <v>187</v>
      </c>
      <c r="AI8" s="205"/>
      <c r="AJ8" s="205"/>
      <c r="AK8" s="205"/>
      <c r="AL8" s="206"/>
      <c r="AM8" s="46" t="s">
        <v>182</v>
      </c>
    </row>
    <row r="9" spans="1:40" ht="34.5" customHeight="1" thickBot="1">
      <c r="A9" s="238" t="s">
        <v>189</v>
      </c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238"/>
      <c r="AI9" s="238"/>
      <c r="AJ9" s="238"/>
      <c r="AK9" s="238"/>
      <c r="AL9" s="101" t="s">
        <v>6</v>
      </c>
      <c r="AM9" s="21"/>
    </row>
    <row r="10" spans="1:40" ht="36" customHeight="1">
      <c r="A10" s="215" t="s">
        <v>139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7"/>
      <c r="AM10" s="218"/>
    </row>
    <row r="11" spans="1:40" ht="21" customHeight="1">
      <c r="A11" s="47"/>
      <c r="B11" s="48"/>
      <c r="C11" s="48"/>
      <c r="D11" s="48"/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50"/>
      <c r="AN11" s="7"/>
    </row>
    <row r="12" spans="1:40" ht="71.25" customHeight="1">
      <c r="A12" s="33"/>
      <c r="B12" s="192" t="s">
        <v>135</v>
      </c>
      <c r="C12" s="192"/>
      <c r="D12" s="192"/>
      <c r="E12" s="19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192" t="s">
        <v>190</v>
      </c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34"/>
      <c r="AI12" s="34"/>
      <c r="AJ12" s="214" t="s">
        <v>199</v>
      </c>
      <c r="AK12" s="214"/>
      <c r="AL12" s="214"/>
      <c r="AM12" s="52"/>
      <c r="AN12" s="7"/>
    </row>
    <row r="13" spans="1:40" ht="21" customHeight="1">
      <c r="A13" s="33"/>
      <c r="B13" s="51"/>
      <c r="C13" s="51"/>
      <c r="D13" s="51"/>
      <c r="E13" s="51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192" t="s">
        <v>191</v>
      </c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34"/>
      <c r="AI13" s="34"/>
      <c r="AJ13" s="192" t="s">
        <v>198</v>
      </c>
      <c r="AK13" s="192"/>
      <c r="AL13" s="192"/>
      <c r="AM13" s="52" t="s">
        <v>7</v>
      </c>
      <c r="AN13" s="7"/>
    </row>
    <row r="14" spans="1:40" ht="21" customHeight="1">
      <c r="A14" s="53"/>
      <c r="B14" s="192" t="s">
        <v>136</v>
      </c>
      <c r="C14" s="192"/>
      <c r="D14" s="192"/>
      <c r="E14" s="192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34"/>
      <c r="AI14" s="34"/>
      <c r="AJ14" s="192"/>
      <c r="AK14" s="192"/>
      <c r="AL14" s="192"/>
      <c r="AM14" s="52"/>
      <c r="AN14" s="7"/>
    </row>
    <row r="15" spans="1:40" ht="21" customHeight="1">
      <c r="A15" s="53"/>
      <c r="B15" s="192"/>
      <c r="C15" s="192"/>
      <c r="D15" s="192"/>
      <c r="E15" s="192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34"/>
      <c r="AI15" s="34"/>
      <c r="AJ15" s="34"/>
      <c r="AK15" s="34"/>
      <c r="AL15" s="34"/>
      <c r="AM15" s="52"/>
      <c r="AN15" s="7"/>
    </row>
    <row r="16" spans="1:40" ht="21" customHeight="1">
      <c r="A16" s="53"/>
      <c r="B16" s="192"/>
      <c r="C16" s="192"/>
      <c r="D16" s="192"/>
      <c r="E16" s="192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192" t="s">
        <v>192</v>
      </c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34"/>
      <c r="AI16" s="34"/>
      <c r="AJ16" s="192" t="s">
        <v>197</v>
      </c>
      <c r="AK16" s="192"/>
      <c r="AL16" s="192"/>
      <c r="AM16" s="52"/>
      <c r="AN16" s="7"/>
    </row>
    <row r="17" spans="1:43" ht="21" customHeight="1">
      <c r="A17" s="53"/>
      <c r="B17" s="192" t="s">
        <v>137</v>
      </c>
      <c r="C17" s="192"/>
      <c r="D17" s="192"/>
      <c r="E17" s="192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34"/>
      <c r="AI17" s="34"/>
      <c r="AJ17" s="192"/>
      <c r="AK17" s="192"/>
      <c r="AL17" s="192"/>
      <c r="AM17" s="52"/>
      <c r="AN17" s="7"/>
    </row>
    <row r="18" spans="1:43" ht="21" customHeight="1">
      <c r="A18" s="53"/>
      <c r="B18" s="192"/>
      <c r="C18" s="192"/>
      <c r="D18" s="192"/>
      <c r="E18" s="192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34"/>
      <c r="AI18" s="34"/>
      <c r="AJ18" s="34"/>
      <c r="AK18" s="34"/>
      <c r="AL18" s="34"/>
      <c r="AM18" s="52"/>
      <c r="AN18" s="7"/>
    </row>
    <row r="19" spans="1:43" ht="21" customHeight="1">
      <c r="A19" s="54"/>
      <c r="B19" s="192"/>
      <c r="C19" s="192"/>
      <c r="D19" s="192"/>
      <c r="E19" s="192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51"/>
      <c r="AK19" s="51"/>
      <c r="AL19" s="34"/>
      <c r="AM19" s="52"/>
      <c r="AN19" s="7"/>
    </row>
    <row r="20" spans="1:43" ht="21" customHeight="1">
      <c r="A20" s="55"/>
      <c r="B20" s="192"/>
      <c r="C20" s="192"/>
      <c r="D20" s="192"/>
      <c r="E20" s="192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192" t="s">
        <v>193</v>
      </c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34"/>
      <c r="AI20" s="34"/>
      <c r="AJ20" s="192" t="s">
        <v>196</v>
      </c>
      <c r="AK20" s="192"/>
      <c r="AL20" s="192"/>
      <c r="AM20" s="52"/>
      <c r="AN20" s="7"/>
    </row>
    <row r="21" spans="1:43" ht="21" customHeight="1">
      <c r="A21" s="55"/>
      <c r="B21" s="192"/>
      <c r="C21" s="192"/>
      <c r="D21" s="192"/>
      <c r="E21" s="192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34"/>
      <c r="AI21" s="34"/>
      <c r="AJ21" s="192"/>
      <c r="AK21" s="192"/>
      <c r="AL21" s="192"/>
      <c r="AM21" s="52"/>
      <c r="AN21" s="7"/>
    </row>
    <row r="22" spans="1:43" ht="21" customHeight="1">
      <c r="A22" s="53"/>
      <c r="B22" s="192" t="s">
        <v>138</v>
      </c>
      <c r="C22" s="192"/>
      <c r="D22" s="192"/>
      <c r="E22" s="192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192"/>
      <c r="AG22" s="192"/>
      <c r="AH22" s="192"/>
      <c r="AI22" s="34"/>
      <c r="AJ22" s="51"/>
      <c r="AK22" s="51"/>
      <c r="AL22" s="34"/>
      <c r="AM22" s="52"/>
      <c r="AN22" s="7"/>
    </row>
    <row r="23" spans="1:43" ht="21" customHeight="1">
      <c r="A23" s="53"/>
      <c r="B23" s="192"/>
      <c r="C23" s="192"/>
      <c r="D23" s="192"/>
      <c r="E23" s="192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192"/>
      <c r="AG23" s="192"/>
      <c r="AH23" s="192"/>
      <c r="AI23" s="34"/>
      <c r="AJ23" s="51"/>
      <c r="AK23" s="51"/>
      <c r="AL23" s="34"/>
      <c r="AM23" s="52"/>
      <c r="AN23" s="7"/>
    </row>
    <row r="24" spans="1:43" ht="21" customHeight="1">
      <c r="A24" s="53"/>
      <c r="B24" s="192"/>
      <c r="C24" s="192"/>
      <c r="D24" s="192"/>
      <c r="E24" s="192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192" t="s">
        <v>194</v>
      </c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34"/>
      <c r="AI24" s="34"/>
      <c r="AJ24" s="192" t="s">
        <v>195</v>
      </c>
      <c r="AK24" s="192"/>
      <c r="AL24" s="192"/>
      <c r="AM24" s="52"/>
      <c r="AN24" s="7"/>
    </row>
    <row r="25" spans="1:43" ht="21" customHeight="1">
      <c r="A25" s="53"/>
      <c r="B25" s="192"/>
      <c r="C25" s="192"/>
      <c r="D25" s="192"/>
      <c r="E25" s="192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34"/>
      <c r="AI25" s="34"/>
      <c r="AJ25" s="192"/>
      <c r="AK25" s="192"/>
      <c r="AL25" s="192"/>
      <c r="AM25" s="52"/>
      <c r="AN25" s="7"/>
    </row>
    <row r="26" spans="1:43" ht="21" customHeight="1">
      <c r="A26" s="54"/>
      <c r="B26" s="192"/>
      <c r="C26" s="192"/>
      <c r="D26" s="192"/>
      <c r="E26" s="192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192"/>
      <c r="AG26" s="192"/>
      <c r="AH26" s="192"/>
      <c r="AI26" s="34"/>
      <c r="AJ26" s="34"/>
      <c r="AK26" s="34"/>
      <c r="AL26" s="34"/>
      <c r="AM26" s="52"/>
      <c r="AN26" s="7"/>
      <c r="AO26" s="8"/>
      <c r="AP26" s="8"/>
    </row>
    <row r="27" spans="1:43" ht="21" customHeight="1">
      <c r="A27" s="54"/>
      <c r="B27" s="35"/>
      <c r="C27" s="56"/>
      <c r="D27" s="56"/>
      <c r="E27" s="56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192"/>
      <c r="AG27" s="192"/>
      <c r="AH27" s="192"/>
      <c r="AI27" s="34"/>
      <c r="AJ27" s="34"/>
      <c r="AK27" s="34"/>
      <c r="AL27" s="34"/>
      <c r="AM27" s="52"/>
      <c r="AN27" s="7"/>
      <c r="AO27" s="8"/>
      <c r="AP27" s="8"/>
      <c r="AQ27" s="8"/>
    </row>
    <row r="28" spans="1:43" ht="213" customHeight="1">
      <c r="A28" s="239" t="s">
        <v>164</v>
      </c>
      <c r="B28" s="240"/>
      <c r="C28" s="240"/>
      <c r="D28" s="241"/>
      <c r="E28" s="239" t="s">
        <v>206</v>
      </c>
      <c r="F28" s="242"/>
      <c r="G28" s="57" t="s">
        <v>165</v>
      </c>
      <c r="H28" s="58" t="s">
        <v>166</v>
      </c>
      <c r="I28" s="59" t="s">
        <v>167</v>
      </c>
      <c r="J28" s="59" t="s">
        <v>168</v>
      </c>
      <c r="K28" s="60"/>
      <c r="L28" s="57" t="s">
        <v>169</v>
      </c>
      <c r="M28" s="58"/>
      <c r="N28" s="59"/>
      <c r="O28" s="59"/>
      <c r="P28" s="60"/>
      <c r="Q28" s="57" t="s">
        <v>170</v>
      </c>
      <c r="R28" s="58"/>
      <c r="S28" s="59"/>
      <c r="T28" s="59"/>
      <c r="U28" s="59"/>
      <c r="V28" s="59"/>
      <c r="W28" s="59"/>
      <c r="X28" s="59"/>
      <c r="Y28" s="59"/>
      <c r="Z28" s="60"/>
      <c r="AA28" s="57" t="s">
        <v>171</v>
      </c>
      <c r="AB28" s="61"/>
      <c r="AC28" s="62"/>
      <c r="AD28" s="62"/>
      <c r="AE28" s="63"/>
      <c r="AF28" s="200" t="s">
        <v>172</v>
      </c>
      <c r="AG28" s="201"/>
      <c r="AH28" s="201"/>
      <c r="AI28" s="201"/>
      <c r="AJ28" s="202"/>
      <c r="AK28" s="64" t="s">
        <v>8</v>
      </c>
      <c r="AL28" s="65" t="s">
        <v>9</v>
      </c>
      <c r="AM28" s="66" t="s">
        <v>10</v>
      </c>
    </row>
    <row r="29" spans="1:43" ht="39.75" customHeight="1">
      <c r="A29" s="145" t="s">
        <v>11</v>
      </c>
      <c r="B29" s="146"/>
      <c r="C29" s="146"/>
      <c r="D29" s="146"/>
      <c r="E29" s="233"/>
      <c r="F29" s="234"/>
      <c r="G29" s="67"/>
      <c r="H29" s="67"/>
      <c r="I29" s="67"/>
      <c r="J29" s="68"/>
      <c r="K29" s="67"/>
      <c r="L29" s="67"/>
      <c r="M29" s="67"/>
      <c r="N29" s="68"/>
      <c r="O29" s="67"/>
      <c r="P29" s="67"/>
      <c r="Q29" s="67"/>
      <c r="R29" s="68"/>
      <c r="S29" s="67"/>
      <c r="T29" s="67"/>
      <c r="U29" s="67"/>
      <c r="V29" s="68"/>
      <c r="W29" s="67"/>
      <c r="X29" s="67"/>
      <c r="Y29" s="67"/>
      <c r="Z29" s="68"/>
      <c r="AA29" s="68">
        <f>G29*L29*Q29</f>
        <v>0</v>
      </c>
      <c r="AB29" s="69"/>
      <c r="AC29" s="69"/>
      <c r="AD29" s="69"/>
      <c r="AE29" s="69"/>
      <c r="AF29" s="233"/>
      <c r="AG29" s="235"/>
      <c r="AH29" s="235"/>
      <c r="AI29" s="235"/>
      <c r="AJ29" s="234"/>
      <c r="AK29" s="67"/>
      <c r="AL29" s="70">
        <f>IF(AK29=5,(AA29*1),IF(AK29=4,(AA29*0.85),IF(AK29=3,(AA29*0.15),IF(AK29=2,(AA29*0.05),IF(AK29=1,(AA29*-0.0000000000000001),(AA29*1))))))</f>
        <v>0</v>
      </c>
      <c r="AM29" s="71">
        <f>IF(AA29=0,0,(AL29-AA29)/AA29)</f>
        <v>0</v>
      </c>
    </row>
    <row r="30" spans="1:43" ht="39.75" customHeight="1">
      <c r="A30" s="145" t="s">
        <v>12</v>
      </c>
      <c r="B30" s="146"/>
      <c r="C30" s="146"/>
      <c r="D30" s="146"/>
      <c r="E30" s="197"/>
      <c r="F30" s="198"/>
      <c r="G30" s="67"/>
      <c r="H30" s="67"/>
      <c r="I30" s="67"/>
      <c r="J30" s="74"/>
      <c r="K30" s="67"/>
      <c r="L30" s="67"/>
      <c r="M30" s="67"/>
      <c r="N30" s="74"/>
      <c r="O30" s="67"/>
      <c r="P30" s="67"/>
      <c r="Q30" s="67"/>
      <c r="R30" s="75"/>
      <c r="S30" s="75"/>
      <c r="T30" s="75"/>
      <c r="U30" s="75"/>
      <c r="V30" s="75"/>
      <c r="W30" s="75"/>
      <c r="X30" s="75"/>
      <c r="Y30" s="75"/>
      <c r="Z30" s="75"/>
      <c r="AA30" s="68">
        <f t="shared" ref="AA30:AA49" si="0">G30*L30*Q30</f>
        <v>0</v>
      </c>
      <c r="AB30" s="76"/>
      <c r="AC30" s="76"/>
      <c r="AD30" s="76"/>
      <c r="AE30" s="76"/>
      <c r="AF30" s="197"/>
      <c r="AG30" s="199"/>
      <c r="AH30" s="199"/>
      <c r="AI30" s="199"/>
      <c r="AJ30" s="198"/>
      <c r="AK30" s="67"/>
      <c r="AL30" s="70">
        <f t="shared" ref="AL30:AL49" si="1">IF(AK30=5,(AA30*1),IF(AK30=4,(AA30*0.85),IF(AK30=3,(AA30*0.15),IF(AK30=2,(AA30*0.05),IF(AK30=1,(AA30*-0.0000000000000001),(AA30*1))))))</f>
        <v>0</v>
      </c>
      <c r="AM30" s="71">
        <f t="shared" ref="AM30:AM49" si="2">IF(AA30=0,0,(AL30-AA30)/AA30)</f>
        <v>0</v>
      </c>
    </row>
    <row r="31" spans="1:43" ht="39.75" customHeight="1">
      <c r="A31" s="145" t="s">
        <v>13</v>
      </c>
      <c r="B31" s="146"/>
      <c r="C31" s="146"/>
      <c r="D31" s="146"/>
      <c r="E31" s="197"/>
      <c r="F31" s="198"/>
      <c r="G31" s="67"/>
      <c r="H31" s="67"/>
      <c r="I31" s="67"/>
      <c r="J31" s="74"/>
      <c r="K31" s="67"/>
      <c r="L31" s="67"/>
      <c r="M31" s="67"/>
      <c r="N31" s="74"/>
      <c r="O31" s="67"/>
      <c r="P31" s="67"/>
      <c r="Q31" s="67"/>
      <c r="R31" s="75"/>
      <c r="S31" s="75"/>
      <c r="T31" s="75"/>
      <c r="U31" s="75"/>
      <c r="V31" s="75"/>
      <c r="W31" s="75"/>
      <c r="X31" s="75"/>
      <c r="Y31" s="75"/>
      <c r="Z31" s="75"/>
      <c r="AA31" s="68">
        <f t="shared" si="0"/>
        <v>0</v>
      </c>
      <c r="AB31" s="76"/>
      <c r="AC31" s="76"/>
      <c r="AD31" s="76"/>
      <c r="AE31" s="76"/>
      <c r="AF31" s="197"/>
      <c r="AG31" s="199"/>
      <c r="AH31" s="199"/>
      <c r="AI31" s="199"/>
      <c r="AJ31" s="198"/>
      <c r="AK31" s="67"/>
      <c r="AL31" s="70">
        <f t="shared" si="1"/>
        <v>0</v>
      </c>
      <c r="AM31" s="71">
        <f t="shared" si="2"/>
        <v>0</v>
      </c>
    </row>
    <row r="32" spans="1:43" ht="39.75" customHeight="1">
      <c r="A32" s="145" t="s">
        <v>14</v>
      </c>
      <c r="B32" s="146"/>
      <c r="C32" s="146"/>
      <c r="D32" s="146"/>
      <c r="E32" s="197"/>
      <c r="F32" s="198"/>
      <c r="G32" s="67"/>
      <c r="H32" s="67"/>
      <c r="I32" s="67"/>
      <c r="J32" s="74"/>
      <c r="K32" s="67"/>
      <c r="L32" s="67"/>
      <c r="M32" s="67"/>
      <c r="N32" s="74"/>
      <c r="O32" s="67"/>
      <c r="P32" s="67"/>
      <c r="Q32" s="67"/>
      <c r="R32" s="75"/>
      <c r="S32" s="75"/>
      <c r="T32" s="75"/>
      <c r="U32" s="75"/>
      <c r="V32" s="75"/>
      <c r="W32" s="75"/>
      <c r="X32" s="75"/>
      <c r="Y32" s="75"/>
      <c r="Z32" s="75"/>
      <c r="AA32" s="68">
        <f t="shared" si="0"/>
        <v>0</v>
      </c>
      <c r="AB32" s="76"/>
      <c r="AC32" s="76"/>
      <c r="AD32" s="76"/>
      <c r="AE32" s="76"/>
      <c r="AF32" s="197"/>
      <c r="AG32" s="199"/>
      <c r="AH32" s="199"/>
      <c r="AI32" s="199"/>
      <c r="AJ32" s="198"/>
      <c r="AK32" s="67"/>
      <c r="AL32" s="70">
        <f t="shared" si="1"/>
        <v>0</v>
      </c>
      <c r="AM32" s="71">
        <f t="shared" si="2"/>
        <v>0</v>
      </c>
    </row>
    <row r="33" spans="1:39" ht="39.75" customHeight="1">
      <c r="A33" s="145" t="s">
        <v>15</v>
      </c>
      <c r="B33" s="146"/>
      <c r="C33" s="146"/>
      <c r="D33" s="146"/>
      <c r="E33" s="197"/>
      <c r="F33" s="198"/>
      <c r="G33" s="67"/>
      <c r="H33" s="67"/>
      <c r="I33" s="67"/>
      <c r="J33" s="74"/>
      <c r="K33" s="67"/>
      <c r="L33" s="67"/>
      <c r="M33" s="67"/>
      <c r="N33" s="74"/>
      <c r="O33" s="67"/>
      <c r="P33" s="67"/>
      <c r="Q33" s="67"/>
      <c r="R33" s="75"/>
      <c r="S33" s="75"/>
      <c r="T33" s="75"/>
      <c r="U33" s="75"/>
      <c r="V33" s="75"/>
      <c r="W33" s="75"/>
      <c r="X33" s="75"/>
      <c r="Y33" s="75"/>
      <c r="Z33" s="75"/>
      <c r="AA33" s="68">
        <f t="shared" si="0"/>
        <v>0</v>
      </c>
      <c r="AB33" s="76"/>
      <c r="AC33" s="76"/>
      <c r="AD33" s="76"/>
      <c r="AE33" s="76"/>
      <c r="AF33" s="197"/>
      <c r="AG33" s="199"/>
      <c r="AH33" s="199"/>
      <c r="AI33" s="199"/>
      <c r="AJ33" s="198"/>
      <c r="AK33" s="67"/>
      <c r="AL33" s="70">
        <f t="shared" si="1"/>
        <v>0</v>
      </c>
      <c r="AM33" s="71">
        <f t="shared" si="2"/>
        <v>0</v>
      </c>
    </row>
    <row r="34" spans="1:39" ht="39.75" customHeight="1">
      <c r="A34" s="145" t="s">
        <v>16</v>
      </c>
      <c r="B34" s="146"/>
      <c r="C34" s="146"/>
      <c r="D34" s="146"/>
      <c r="E34" s="197"/>
      <c r="F34" s="198"/>
      <c r="G34" s="67"/>
      <c r="H34" s="67"/>
      <c r="I34" s="67"/>
      <c r="J34" s="74"/>
      <c r="K34" s="67"/>
      <c r="L34" s="67"/>
      <c r="M34" s="67"/>
      <c r="N34" s="74"/>
      <c r="O34" s="67"/>
      <c r="P34" s="67"/>
      <c r="Q34" s="67"/>
      <c r="R34" s="75"/>
      <c r="S34" s="75"/>
      <c r="T34" s="75"/>
      <c r="U34" s="75"/>
      <c r="V34" s="75"/>
      <c r="W34" s="75"/>
      <c r="X34" s="75"/>
      <c r="Y34" s="75"/>
      <c r="Z34" s="75"/>
      <c r="AA34" s="68">
        <f t="shared" si="0"/>
        <v>0</v>
      </c>
      <c r="AB34" s="76"/>
      <c r="AC34" s="76"/>
      <c r="AD34" s="76"/>
      <c r="AE34" s="76"/>
      <c r="AF34" s="197"/>
      <c r="AG34" s="199"/>
      <c r="AH34" s="199"/>
      <c r="AI34" s="199"/>
      <c r="AJ34" s="198"/>
      <c r="AK34" s="67"/>
      <c r="AL34" s="70">
        <f t="shared" si="1"/>
        <v>0</v>
      </c>
      <c r="AM34" s="71">
        <f t="shared" si="2"/>
        <v>0</v>
      </c>
    </row>
    <row r="35" spans="1:39" ht="39.75" customHeight="1">
      <c r="A35" s="145" t="s">
        <v>17</v>
      </c>
      <c r="B35" s="146"/>
      <c r="C35" s="146"/>
      <c r="D35" s="146"/>
      <c r="E35" s="197"/>
      <c r="F35" s="198"/>
      <c r="G35" s="67"/>
      <c r="H35" s="67"/>
      <c r="I35" s="67"/>
      <c r="J35" s="74"/>
      <c r="K35" s="67"/>
      <c r="L35" s="67"/>
      <c r="M35" s="67"/>
      <c r="N35" s="74"/>
      <c r="O35" s="67"/>
      <c r="P35" s="67"/>
      <c r="Q35" s="67"/>
      <c r="R35" s="75"/>
      <c r="S35" s="75"/>
      <c r="T35" s="75"/>
      <c r="U35" s="75"/>
      <c r="V35" s="75"/>
      <c r="W35" s="75"/>
      <c r="X35" s="75"/>
      <c r="Y35" s="75"/>
      <c r="Z35" s="75"/>
      <c r="AA35" s="68">
        <f t="shared" si="0"/>
        <v>0</v>
      </c>
      <c r="AB35" s="76"/>
      <c r="AC35" s="76"/>
      <c r="AD35" s="76"/>
      <c r="AE35" s="76"/>
      <c r="AF35" s="197"/>
      <c r="AG35" s="199"/>
      <c r="AH35" s="199"/>
      <c r="AI35" s="199"/>
      <c r="AJ35" s="198"/>
      <c r="AK35" s="67"/>
      <c r="AL35" s="70">
        <f t="shared" si="1"/>
        <v>0</v>
      </c>
      <c r="AM35" s="71">
        <f t="shared" si="2"/>
        <v>0</v>
      </c>
    </row>
    <row r="36" spans="1:39" ht="39.75" customHeight="1">
      <c r="A36" s="145" t="s">
        <v>18</v>
      </c>
      <c r="B36" s="146"/>
      <c r="C36" s="146"/>
      <c r="D36" s="146"/>
      <c r="E36" s="197"/>
      <c r="F36" s="198"/>
      <c r="G36" s="67"/>
      <c r="H36" s="67"/>
      <c r="I36" s="67"/>
      <c r="J36" s="74"/>
      <c r="K36" s="67"/>
      <c r="L36" s="67"/>
      <c r="M36" s="67"/>
      <c r="N36" s="74"/>
      <c r="O36" s="67"/>
      <c r="P36" s="67"/>
      <c r="Q36" s="67"/>
      <c r="R36" s="75"/>
      <c r="S36" s="75"/>
      <c r="T36" s="75"/>
      <c r="U36" s="75"/>
      <c r="V36" s="75"/>
      <c r="W36" s="75"/>
      <c r="X36" s="75"/>
      <c r="Y36" s="75"/>
      <c r="Z36" s="75"/>
      <c r="AA36" s="68">
        <f t="shared" si="0"/>
        <v>0</v>
      </c>
      <c r="AB36" s="76"/>
      <c r="AC36" s="76"/>
      <c r="AD36" s="76"/>
      <c r="AE36" s="76"/>
      <c r="AF36" s="197"/>
      <c r="AG36" s="199"/>
      <c r="AH36" s="199"/>
      <c r="AI36" s="199"/>
      <c r="AJ36" s="198"/>
      <c r="AK36" s="67"/>
      <c r="AL36" s="70">
        <f t="shared" si="1"/>
        <v>0</v>
      </c>
      <c r="AM36" s="71">
        <f t="shared" si="2"/>
        <v>0</v>
      </c>
    </row>
    <row r="37" spans="1:39" ht="39.75" customHeight="1">
      <c r="A37" s="145" t="s">
        <v>19</v>
      </c>
      <c r="B37" s="146"/>
      <c r="C37" s="146"/>
      <c r="D37" s="146"/>
      <c r="E37" s="197"/>
      <c r="F37" s="198"/>
      <c r="G37" s="67"/>
      <c r="H37" s="67"/>
      <c r="I37" s="67"/>
      <c r="J37" s="74"/>
      <c r="K37" s="67"/>
      <c r="L37" s="67"/>
      <c r="M37" s="67"/>
      <c r="N37" s="74"/>
      <c r="O37" s="67"/>
      <c r="P37" s="67"/>
      <c r="Q37" s="67"/>
      <c r="R37" s="75"/>
      <c r="S37" s="75"/>
      <c r="T37" s="75"/>
      <c r="U37" s="75"/>
      <c r="V37" s="75"/>
      <c r="W37" s="75"/>
      <c r="X37" s="75"/>
      <c r="Y37" s="75"/>
      <c r="Z37" s="75"/>
      <c r="AA37" s="68">
        <f t="shared" si="0"/>
        <v>0</v>
      </c>
      <c r="AB37" s="76"/>
      <c r="AC37" s="76"/>
      <c r="AD37" s="76"/>
      <c r="AE37" s="76"/>
      <c r="AF37" s="197"/>
      <c r="AG37" s="199"/>
      <c r="AH37" s="199"/>
      <c r="AI37" s="199"/>
      <c r="AJ37" s="198"/>
      <c r="AK37" s="67"/>
      <c r="AL37" s="70">
        <f t="shared" si="1"/>
        <v>0</v>
      </c>
      <c r="AM37" s="71">
        <f t="shared" si="2"/>
        <v>0</v>
      </c>
    </row>
    <row r="38" spans="1:39" ht="39.75" customHeight="1">
      <c r="A38" s="145" t="s">
        <v>20</v>
      </c>
      <c r="B38" s="146"/>
      <c r="C38" s="146"/>
      <c r="D38" s="146"/>
      <c r="E38" s="197"/>
      <c r="F38" s="198"/>
      <c r="G38" s="67"/>
      <c r="H38" s="67"/>
      <c r="I38" s="67"/>
      <c r="J38" s="74"/>
      <c r="K38" s="67"/>
      <c r="L38" s="67"/>
      <c r="M38" s="67"/>
      <c r="N38" s="74"/>
      <c r="O38" s="67"/>
      <c r="P38" s="67"/>
      <c r="Q38" s="67"/>
      <c r="R38" s="75"/>
      <c r="S38" s="75"/>
      <c r="T38" s="75"/>
      <c r="U38" s="75"/>
      <c r="V38" s="75"/>
      <c r="W38" s="75"/>
      <c r="X38" s="75"/>
      <c r="Y38" s="75"/>
      <c r="Z38" s="75"/>
      <c r="AA38" s="68">
        <f t="shared" si="0"/>
        <v>0</v>
      </c>
      <c r="AB38" s="76"/>
      <c r="AC38" s="76"/>
      <c r="AD38" s="76"/>
      <c r="AE38" s="76"/>
      <c r="AF38" s="197"/>
      <c r="AG38" s="199"/>
      <c r="AH38" s="199"/>
      <c r="AI38" s="199"/>
      <c r="AJ38" s="198"/>
      <c r="AK38" s="67"/>
      <c r="AL38" s="70">
        <f t="shared" si="1"/>
        <v>0</v>
      </c>
      <c r="AM38" s="71">
        <f t="shared" si="2"/>
        <v>0</v>
      </c>
    </row>
    <row r="39" spans="1:39" ht="39.75" customHeight="1">
      <c r="A39" s="145" t="s">
        <v>21</v>
      </c>
      <c r="B39" s="146"/>
      <c r="C39" s="146"/>
      <c r="D39" s="146"/>
      <c r="E39" s="72"/>
      <c r="F39" s="73"/>
      <c r="G39" s="67"/>
      <c r="H39" s="67"/>
      <c r="I39" s="67"/>
      <c r="J39" s="74"/>
      <c r="K39" s="67"/>
      <c r="L39" s="67"/>
      <c r="M39" s="67"/>
      <c r="N39" s="74"/>
      <c r="O39" s="67"/>
      <c r="P39" s="67"/>
      <c r="Q39" s="67"/>
      <c r="R39" s="75"/>
      <c r="S39" s="75"/>
      <c r="T39" s="75"/>
      <c r="U39" s="75"/>
      <c r="V39" s="75"/>
      <c r="W39" s="75"/>
      <c r="X39" s="75"/>
      <c r="Y39" s="75"/>
      <c r="Z39" s="75"/>
      <c r="AA39" s="68">
        <f t="shared" si="0"/>
        <v>0</v>
      </c>
      <c r="AB39" s="76"/>
      <c r="AC39" s="76"/>
      <c r="AD39" s="76"/>
      <c r="AE39" s="76"/>
      <c r="AF39" s="72"/>
      <c r="AG39" s="76"/>
      <c r="AH39" s="76"/>
      <c r="AI39" s="76"/>
      <c r="AJ39" s="73"/>
      <c r="AK39" s="67"/>
      <c r="AL39" s="70">
        <f t="shared" si="1"/>
        <v>0</v>
      </c>
      <c r="AM39" s="71">
        <f t="shared" si="2"/>
        <v>0</v>
      </c>
    </row>
    <row r="40" spans="1:39" ht="39.75" customHeight="1">
      <c r="A40" s="145" t="s">
        <v>22</v>
      </c>
      <c r="B40" s="146"/>
      <c r="C40" s="146"/>
      <c r="D40" s="146"/>
      <c r="E40" s="72"/>
      <c r="F40" s="73"/>
      <c r="G40" s="67"/>
      <c r="H40" s="67"/>
      <c r="I40" s="67"/>
      <c r="J40" s="74"/>
      <c r="K40" s="67"/>
      <c r="L40" s="67"/>
      <c r="M40" s="67"/>
      <c r="N40" s="74"/>
      <c r="O40" s="67"/>
      <c r="P40" s="67"/>
      <c r="Q40" s="67"/>
      <c r="R40" s="75"/>
      <c r="S40" s="75"/>
      <c r="T40" s="75"/>
      <c r="U40" s="75"/>
      <c r="V40" s="75"/>
      <c r="W40" s="75"/>
      <c r="X40" s="75"/>
      <c r="Y40" s="75"/>
      <c r="Z40" s="75"/>
      <c r="AA40" s="68">
        <f t="shared" si="0"/>
        <v>0</v>
      </c>
      <c r="AB40" s="76"/>
      <c r="AC40" s="76"/>
      <c r="AD40" s="76"/>
      <c r="AE40" s="76"/>
      <c r="AF40" s="72"/>
      <c r="AG40" s="76"/>
      <c r="AH40" s="76"/>
      <c r="AI40" s="76"/>
      <c r="AJ40" s="73"/>
      <c r="AK40" s="67"/>
      <c r="AL40" s="70">
        <f t="shared" si="1"/>
        <v>0</v>
      </c>
      <c r="AM40" s="71">
        <f t="shared" si="2"/>
        <v>0</v>
      </c>
    </row>
    <row r="41" spans="1:39" ht="39.75" customHeight="1">
      <c r="A41" s="145" t="s">
        <v>23</v>
      </c>
      <c r="B41" s="146"/>
      <c r="C41" s="146"/>
      <c r="D41" s="146"/>
      <c r="E41" s="72"/>
      <c r="F41" s="73"/>
      <c r="G41" s="67"/>
      <c r="H41" s="67"/>
      <c r="I41" s="67"/>
      <c r="J41" s="74"/>
      <c r="K41" s="67"/>
      <c r="L41" s="67"/>
      <c r="M41" s="67"/>
      <c r="N41" s="74"/>
      <c r="O41" s="67"/>
      <c r="P41" s="67"/>
      <c r="Q41" s="67"/>
      <c r="R41" s="75"/>
      <c r="S41" s="75"/>
      <c r="T41" s="75"/>
      <c r="U41" s="75"/>
      <c r="V41" s="75"/>
      <c r="W41" s="75"/>
      <c r="X41" s="75"/>
      <c r="Y41" s="75"/>
      <c r="Z41" s="75"/>
      <c r="AA41" s="68">
        <f t="shared" si="0"/>
        <v>0</v>
      </c>
      <c r="AB41" s="76"/>
      <c r="AC41" s="76"/>
      <c r="AD41" s="76"/>
      <c r="AE41" s="76"/>
      <c r="AF41" s="72"/>
      <c r="AG41" s="76"/>
      <c r="AH41" s="76"/>
      <c r="AI41" s="76"/>
      <c r="AJ41" s="73"/>
      <c r="AK41" s="67"/>
      <c r="AL41" s="70">
        <f t="shared" si="1"/>
        <v>0</v>
      </c>
      <c r="AM41" s="71">
        <f t="shared" si="2"/>
        <v>0</v>
      </c>
    </row>
    <row r="42" spans="1:39" ht="39.75" customHeight="1">
      <c r="A42" s="145" t="s">
        <v>24</v>
      </c>
      <c r="B42" s="146"/>
      <c r="C42" s="146"/>
      <c r="D42" s="146"/>
      <c r="E42" s="72"/>
      <c r="F42" s="73"/>
      <c r="G42" s="67"/>
      <c r="H42" s="67"/>
      <c r="I42" s="67"/>
      <c r="J42" s="74"/>
      <c r="K42" s="67"/>
      <c r="L42" s="67"/>
      <c r="M42" s="67"/>
      <c r="N42" s="74"/>
      <c r="O42" s="67"/>
      <c r="P42" s="67"/>
      <c r="Q42" s="67"/>
      <c r="R42" s="75"/>
      <c r="S42" s="75"/>
      <c r="T42" s="75"/>
      <c r="U42" s="75"/>
      <c r="V42" s="75"/>
      <c r="W42" s="75"/>
      <c r="X42" s="75"/>
      <c r="Y42" s="75"/>
      <c r="Z42" s="75"/>
      <c r="AA42" s="68">
        <f t="shared" si="0"/>
        <v>0</v>
      </c>
      <c r="AB42" s="76"/>
      <c r="AC42" s="76"/>
      <c r="AD42" s="76"/>
      <c r="AE42" s="76"/>
      <c r="AF42" s="72"/>
      <c r="AG42" s="76"/>
      <c r="AH42" s="76"/>
      <c r="AI42" s="76"/>
      <c r="AJ42" s="73"/>
      <c r="AK42" s="67"/>
      <c r="AL42" s="70">
        <f t="shared" si="1"/>
        <v>0</v>
      </c>
      <c r="AM42" s="71">
        <f t="shared" si="2"/>
        <v>0</v>
      </c>
    </row>
    <row r="43" spans="1:39" ht="39.75" customHeight="1">
      <c r="A43" s="145" t="s">
        <v>25</v>
      </c>
      <c r="B43" s="146"/>
      <c r="C43" s="146"/>
      <c r="D43" s="146"/>
      <c r="E43" s="197"/>
      <c r="F43" s="198"/>
      <c r="G43" s="67"/>
      <c r="H43" s="67"/>
      <c r="I43" s="67"/>
      <c r="J43" s="74"/>
      <c r="K43" s="67"/>
      <c r="L43" s="67"/>
      <c r="M43" s="67"/>
      <c r="N43" s="74"/>
      <c r="O43" s="67"/>
      <c r="P43" s="67"/>
      <c r="Q43" s="67"/>
      <c r="R43" s="75"/>
      <c r="S43" s="75"/>
      <c r="T43" s="75"/>
      <c r="U43" s="75"/>
      <c r="V43" s="75"/>
      <c r="W43" s="75"/>
      <c r="X43" s="75"/>
      <c r="Y43" s="75"/>
      <c r="Z43" s="75"/>
      <c r="AA43" s="68">
        <f t="shared" si="0"/>
        <v>0</v>
      </c>
      <c r="AB43" s="75"/>
      <c r="AC43" s="75"/>
      <c r="AD43" s="75"/>
      <c r="AE43" s="75"/>
      <c r="AF43" s="197"/>
      <c r="AG43" s="199"/>
      <c r="AH43" s="199"/>
      <c r="AI43" s="199"/>
      <c r="AJ43" s="198"/>
      <c r="AK43" s="67"/>
      <c r="AL43" s="70">
        <f t="shared" si="1"/>
        <v>0</v>
      </c>
      <c r="AM43" s="71">
        <f t="shared" si="2"/>
        <v>0</v>
      </c>
    </row>
    <row r="44" spans="1:39" ht="39.75" customHeight="1">
      <c r="A44" s="145" t="s">
        <v>26</v>
      </c>
      <c r="B44" s="146"/>
      <c r="C44" s="146"/>
      <c r="D44" s="146"/>
      <c r="E44" s="197"/>
      <c r="F44" s="198"/>
      <c r="G44" s="67"/>
      <c r="H44" s="67"/>
      <c r="I44" s="67"/>
      <c r="J44" s="74"/>
      <c r="K44" s="67"/>
      <c r="L44" s="67"/>
      <c r="M44" s="67"/>
      <c r="N44" s="74"/>
      <c r="O44" s="67"/>
      <c r="P44" s="67"/>
      <c r="Q44" s="67"/>
      <c r="R44" s="75"/>
      <c r="S44" s="75"/>
      <c r="T44" s="75"/>
      <c r="U44" s="75"/>
      <c r="V44" s="75"/>
      <c r="W44" s="75"/>
      <c r="X44" s="75"/>
      <c r="Y44" s="75"/>
      <c r="Z44" s="75"/>
      <c r="AA44" s="68">
        <f t="shared" si="0"/>
        <v>0</v>
      </c>
      <c r="AB44" s="75"/>
      <c r="AC44" s="75"/>
      <c r="AD44" s="75"/>
      <c r="AE44" s="75"/>
      <c r="AF44" s="197"/>
      <c r="AG44" s="199"/>
      <c r="AH44" s="199"/>
      <c r="AI44" s="199"/>
      <c r="AJ44" s="198"/>
      <c r="AK44" s="67"/>
      <c r="AL44" s="70">
        <f t="shared" si="1"/>
        <v>0</v>
      </c>
      <c r="AM44" s="71">
        <f t="shared" si="2"/>
        <v>0</v>
      </c>
    </row>
    <row r="45" spans="1:39" ht="39.75" customHeight="1">
      <c r="A45" s="145" t="s">
        <v>27</v>
      </c>
      <c r="B45" s="146"/>
      <c r="C45" s="146"/>
      <c r="D45" s="146"/>
      <c r="E45" s="197"/>
      <c r="F45" s="198"/>
      <c r="G45" s="67"/>
      <c r="H45" s="67"/>
      <c r="I45" s="67"/>
      <c r="J45" s="74"/>
      <c r="K45" s="67"/>
      <c r="L45" s="67"/>
      <c r="M45" s="67"/>
      <c r="N45" s="74"/>
      <c r="O45" s="67"/>
      <c r="P45" s="67"/>
      <c r="Q45" s="67"/>
      <c r="R45" s="75"/>
      <c r="S45" s="75"/>
      <c r="T45" s="75"/>
      <c r="U45" s="75"/>
      <c r="V45" s="75"/>
      <c r="W45" s="75"/>
      <c r="X45" s="75"/>
      <c r="Y45" s="75"/>
      <c r="Z45" s="75"/>
      <c r="AA45" s="68">
        <f t="shared" si="0"/>
        <v>0</v>
      </c>
      <c r="AB45" s="75"/>
      <c r="AC45" s="75"/>
      <c r="AD45" s="75"/>
      <c r="AE45" s="75"/>
      <c r="AF45" s="197"/>
      <c r="AG45" s="199"/>
      <c r="AH45" s="199"/>
      <c r="AI45" s="199"/>
      <c r="AJ45" s="198"/>
      <c r="AK45" s="67"/>
      <c r="AL45" s="70">
        <f t="shared" si="1"/>
        <v>0</v>
      </c>
      <c r="AM45" s="71">
        <f t="shared" si="2"/>
        <v>0</v>
      </c>
    </row>
    <row r="46" spans="1:39" ht="39.75" customHeight="1">
      <c r="A46" s="145" t="s">
        <v>28</v>
      </c>
      <c r="B46" s="146"/>
      <c r="C46" s="146"/>
      <c r="D46" s="146"/>
      <c r="E46" s="197"/>
      <c r="F46" s="198"/>
      <c r="G46" s="67"/>
      <c r="H46" s="67"/>
      <c r="I46" s="67"/>
      <c r="J46" s="74"/>
      <c r="K46" s="67"/>
      <c r="L46" s="67"/>
      <c r="M46" s="67"/>
      <c r="N46" s="74"/>
      <c r="O46" s="67"/>
      <c r="P46" s="67"/>
      <c r="Q46" s="67"/>
      <c r="R46" s="75"/>
      <c r="S46" s="75"/>
      <c r="T46" s="75"/>
      <c r="U46" s="75"/>
      <c r="V46" s="75"/>
      <c r="W46" s="75"/>
      <c r="X46" s="75"/>
      <c r="Y46" s="75"/>
      <c r="Z46" s="75"/>
      <c r="AA46" s="68">
        <f t="shared" si="0"/>
        <v>0</v>
      </c>
      <c r="AB46" s="75"/>
      <c r="AC46" s="75"/>
      <c r="AD46" s="75"/>
      <c r="AE46" s="75"/>
      <c r="AF46" s="197"/>
      <c r="AG46" s="199"/>
      <c r="AH46" s="199"/>
      <c r="AI46" s="199"/>
      <c r="AJ46" s="198"/>
      <c r="AK46" s="67"/>
      <c r="AL46" s="70">
        <f t="shared" si="1"/>
        <v>0</v>
      </c>
      <c r="AM46" s="71">
        <f t="shared" si="2"/>
        <v>0</v>
      </c>
    </row>
    <row r="47" spans="1:39" ht="39.75" customHeight="1">
      <c r="A47" s="145" t="s">
        <v>29</v>
      </c>
      <c r="B47" s="146"/>
      <c r="C47" s="146"/>
      <c r="D47" s="146"/>
      <c r="E47" s="197"/>
      <c r="F47" s="198"/>
      <c r="G47" s="67"/>
      <c r="H47" s="67"/>
      <c r="I47" s="67"/>
      <c r="J47" s="74"/>
      <c r="K47" s="67"/>
      <c r="L47" s="67"/>
      <c r="M47" s="67"/>
      <c r="N47" s="74"/>
      <c r="O47" s="67"/>
      <c r="P47" s="67"/>
      <c r="Q47" s="67"/>
      <c r="R47" s="75"/>
      <c r="S47" s="75"/>
      <c r="T47" s="75"/>
      <c r="U47" s="75"/>
      <c r="V47" s="75"/>
      <c r="W47" s="75"/>
      <c r="X47" s="75"/>
      <c r="Y47" s="75"/>
      <c r="Z47" s="75"/>
      <c r="AA47" s="68">
        <f t="shared" si="0"/>
        <v>0</v>
      </c>
      <c r="AB47" s="75"/>
      <c r="AC47" s="75"/>
      <c r="AD47" s="75"/>
      <c r="AE47" s="75"/>
      <c r="AF47" s="197"/>
      <c r="AG47" s="199"/>
      <c r="AH47" s="199"/>
      <c r="AI47" s="199"/>
      <c r="AJ47" s="198"/>
      <c r="AK47" s="67"/>
      <c r="AL47" s="70">
        <f t="shared" si="1"/>
        <v>0</v>
      </c>
      <c r="AM47" s="71">
        <f t="shared" si="2"/>
        <v>0</v>
      </c>
    </row>
    <row r="48" spans="1:39" ht="39.75" customHeight="1">
      <c r="A48" s="145" t="s">
        <v>30</v>
      </c>
      <c r="B48" s="146"/>
      <c r="C48" s="146"/>
      <c r="D48" s="146"/>
      <c r="E48" s="197"/>
      <c r="F48" s="198"/>
      <c r="G48" s="67"/>
      <c r="H48" s="67"/>
      <c r="I48" s="67"/>
      <c r="J48" s="74"/>
      <c r="K48" s="67"/>
      <c r="L48" s="67"/>
      <c r="M48" s="67"/>
      <c r="N48" s="74"/>
      <c r="O48" s="67"/>
      <c r="P48" s="67"/>
      <c r="Q48" s="67"/>
      <c r="R48" s="75"/>
      <c r="S48" s="75"/>
      <c r="T48" s="75"/>
      <c r="U48" s="75"/>
      <c r="V48" s="75"/>
      <c r="W48" s="75"/>
      <c r="X48" s="75"/>
      <c r="Y48" s="75"/>
      <c r="Z48" s="75"/>
      <c r="AA48" s="68">
        <f t="shared" si="0"/>
        <v>0</v>
      </c>
      <c r="AB48" s="75"/>
      <c r="AC48" s="75"/>
      <c r="AD48" s="75"/>
      <c r="AE48" s="75"/>
      <c r="AF48" s="197"/>
      <c r="AG48" s="199"/>
      <c r="AH48" s="199"/>
      <c r="AI48" s="199"/>
      <c r="AJ48" s="198"/>
      <c r="AK48" s="67"/>
      <c r="AL48" s="70">
        <f t="shared" si="1"/>
        <v>0</v>
      </c>
      <c r="AM48" s="71">
        <f t="shared" si="2"/>
        <v>0</v>
      </c>
    </row>
    <row r="49" spans="1:39" ht="39.75" customHeight="1">
      <c r="A49" s="145" t="s">
        <v>31</v>
      </c>
      <c r="B49" s="146"/>
      <c r="C49" s="146"/>
      <c r="D49" s="146"/>
      <c r="E49" s="197"/>
      <c r="F49" s="198"/>
      <c r="G49" s="67"/>
      <c r="H49" s="67"/>
      <c r="I49" s="67"/>
      <c r="J49" s="74"/>
      <c r="K49" s="67"/>
      <c r="L49" s="67"/>
      <c r="M49" s="67"/>
      <c r="N49" s="74"/>
      <c r="O49" s="67"/>
      <c r="P49" s="67"/>
      <c r="Q49" s="67"/>
      <c r="R49" s="75"/>
      <c r="S49" s="75"/>
      <c r="T49" s="75"/>
      <c r="U49" s="75"/>
      <c r="V49" s="75"/>
      <c r="W49" s="75"/>
      <c r="X49" s="75"/>
      <c r="Y49" s="75"/>
      <c r="Z49" s="75"/>
      <c r="AA49" s="68">
        <f t="shared" si="0"/>
        <v>0</v>
      </c>
      <c r="AB49" s="75"/>
      <c r="AC49" s="75"/>
      <c r="AD49" s="75"/>
      <c r="AE49" s="75"/>
      <c r="AF49" s="197"/>
      <c r="AG49" s="199"/>
      <c r="AH49" s="199"/>
      <c r="AI49" s="199"/>
      <c r="AJ49" s="198"/>
      <c r="AK49" s="67"/>
      <c r="AL49" s="70">
        <f t="shared" si="1"/>
        <v>0</v>
      </c>
      <c r="AM49" s="71">
        <f t="shared" si="2"/>
        <v>0</v>
      </c>
    </row>
    <row r="50" spans="1:39" ht="39.75" customHeight="1">
      <c r="A50" s="147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9"/>
    </row>
    <row r="51" spans="1:39" ht="36" customHeight="1">
      <c r="A51" s="245" t="s">
        <v>151</v>
      </c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7"/>
    </row>
    <row r="52" spans="1:39" ht="36" customHeight="1">
      <c r="A52" s="193" t="s">
        <v>32</v>
      </c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5"/>
    </row>
    <row r="53" spans="1:39" ht="36" customHeight="1">
      <c r="A53" s="78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80"/>
    </row>
    <row r="54" spans="1:39" ht="36" customHeight="1">
      <c r="A54" s="81"/>
      <c r="B54" s="82"/>
      <c r="C54" s="82"/>
      <c r="D54" s="83"/>
      <c r="E54" s="82" t="s">
        <v>33</v>
      </c>
      <c r="F54" s="84" t="s">
        <v>34</v>
      </c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2" t="s">
        <v>35</v>
      </c>
      <c r="AB54" s="84"/>
      <c r="AC54" s="84"/>
      <c r="AD54" s="84"/>
      <c r="AE54" s="84"/>
      <c r="AF54" s="85"/>
      <c r="AG54" s="82"/>
      <c r="AH54" s="85"/>
      <c r="AI54" s="82" t="s">
        <v>36</v>
      </c>
      <c r="AJ54" s="82"/>
      <c r="AK54" s="196" t="s">
        <v>37</v>
      </c>
      <c r="AL54" s="196"/>
      <c r="AM54" s="86"/>
    </row>
    <row r="55" spans="1:39" ht="36" customHeight="1">
      <c r="A55" s="81"/>
      <c r="B55" s="82"/>
      <c r="C55" s="82"/>
      <c r="D55" s="83"/>
      <c r="E55" s="82" t="s">
        <v>38</v>
      </c>
      <c r="F55" s="84" t="s">
        <v>39</v>
      </c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61" t="s">
        <v>40</v>
      </c>
      <c r="AB55" s="261"/>
      <c r="AC55" s="261"/>
      <c r="AD55" s="261"/>
      <c r="AE55" s="261"/>
      <c r="AF55" s="261"/>
      <c r="AG55" s="82"/>
      <c r="AH55" s="85"/>
      <c r="AI55" s="82" t="s">
        <v>41</v>
      </c>
      <c r="AJ55" s="85"/>
      <c r="AK55" s="196" t="s">
        <v>42</v>
      </c>
      <c r="AL55" s="196"/>
      <c r="AM55" s="86"/>
    </row>
    <row r="56" spans="1:39" ht="36" customHeight="1">
      <c r="A56" s="81"/>
      <c r="B56" s="82"/>
      <c r="C56" s="82"/>
      <c r="D56" s="83"/>
      <c r="E56" s="82" t="s">
        <v>43</v>
      </c>
      <c r="F56" s="85" t="s">
        <v>44</v>
      </c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4" t="s">
        <v>45</v>
      </c>
      <c r="AB56" s="85"/>
      <c r="AC56" s="85"/>
      <c r="AD56" s="85"/>
      <c r="AE56" s="85"/>
      <c r="AF56" s="85"/>
      <c r="AG56" s="82"/>
      <c r="AH56" s="85"/>
      <c r="AI56" s="82" t="s">
        <v>46</v>
      </c>
      <c r="AJ56" s="85"/>
      <c r="AK56" s="261" t="s">
        <v>47</v>
      </c>
      <c r="AL56" s="261"/>
      <c r="AM56" s="86"/>
    </row>
    <row r="57" spans="1:39" ht="36" customHeight="1">
      <c r="A57" s="87"/>
      <c r="B57" s="82"/>
      <c r="C57" s="82"/>
      <c r="D57" s="83"/>
      <c r="E57" s="82" t="s">
        <v>48</v>
      </c>
      <c r="F57" s="82" t="s">
        <v>49</v>
      </c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4" t="s">
        <v>50</v>
      </c>
      <c r="AB57" s="82"/>
      <c r="AC57" s="82"/>
      <c r="AD57" s="82"/>
      <c r="AE57" s="82"/>
      <c r="AF57" s="85"/>
      <c r="AG57" s="82"/>
      <c r="AH57" s="85"/>
      <c r="AI57" s="196" t="s">
        <v>51</v>
      </c>
      <c r="AJ57" s="85"/>
      <c r="AK57" s="261" t="s">
        <v>52</v>
      </c>
      <c r="AL57" s="261"/>
      <c r="AM57" s="86"/>
    </row>
    <row r="58" spans="1:39" ht="36" customHeight="1">
      <c r="A58" s="87"/>
      <c r="B58" s="82"/>
      <c r="C58" s="82"/>
      <c r="D58" s="83"/>
      <c r="E58" s="84" t="s">
        <v>53</v>
      </c>
      <c r="F58" s="84" t="s">
        <v>54</v>
      </c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2" t="s">
        <v>55</v>
      </c>
      <c r="AB58" s="84"/>
      <c r="AC58" s="84"/>
      <c r="AD58" s="84"/>
      <c r="AE58" s="84"/>
      <c r="AF58" s="85"/>
      <c r="AG58" s="82"/>
      <c r="AH58" s="85"/>
      <c r="AI58" s="196"/>
      <c r="AJ58" s="85"/>
      <c r="AK58" s="84" t="s">
        <v>56</v>
      </c>
      <c r="AL58" s="85"/>
      <c r="AM58" s="86"/>
    </row>
    <row r="59" spans="1:39" ht="36" customHeight="1">
      <c r="A59" s="81"/>
      <c r="B59" s="82"/>
      <c r="C59" s="82"/>
      <c r="D59" s="83"/>
      <c r="E59" s="82" t="s">
        <v>57</v>
      </c>
      <c r="F59" s="196" t="s">
        <v>58</v>
      </c>
      <c r="G59" s="196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4" t="s">
        <v>59</v>
      </c>
      <c r="AB59" s="82"/>
      <c r="AC59" s="82"/>
      <c r="AD59" s="82"/>
      <c r="AE59" s="82"/>
      <c r="AF59" s="85"/>
      <c r="AG59" s="82"/>
      <c r="AH59" s="85"/>
      <c r="AI59" s="82" t="s">
        <v>60</v>
      </c>
      <c r="AJ59" s="85"/>
      <c r="AK59" s="82"/>
      <c r="AL59" s="82"/>
      <c r="AM59" s="88"/>
    </row>
    <row r="60" spans="1:39" ht="36" customHeight="1">
      <c r="A60" s="81"/>
      <c r="B60" s="82"/>
      <c r="C60" s="82"/>
      <c r="D60" s="82"/>
      <c r="E60" s="82" t="s">
        <v>61</v>
      </c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 t="s">
        <v>62</v>
      </c>
      <c r="AB60" s="82"/>
      <c r="AC60" s="82"/>
      <c r="AD60" s="82"/>
      <c r="AE60" s="82"/>
      <c r="AF60" s="85"/>
      <c r="AG60" s="82"/>
      <c r="AH60" s="82"/>
      <c r="AI60" s="82" t="s">
        <v>63</v>
      </c>
      <c r="AJ60" s="85"/>
      <c r="AK60" s="82"/>
      <c r="AL60" s="82"/>
      <c r="AM60" s="86"/>
    </row>
    <row r="61" spans="1:39" ht="36" customHeight="1">
      <c r="A61" s="81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5"/>
      <c r="AG61" s="82"/>
      <c r="AH61" s="82"/>
      <c r="AI61" s="82"/>
      <c r="AJ61" s="85"/>
      <c r="AK61" s="82"/>
      <c r="AL61" s="82"/>
      <c r="AM61" s="86"/>
    </row>
    <row r="62" spans="1:39" ht="36" customHeight="1" thickBot="1">
      <c r="A62" s="81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5"/>
      <c r="AK62" s="82"/>
      <c r="AL62" s="82"/>
      <c r="AM62" s="86"/>
    </row>
    <row r="63" spans="1:39" ht="102.6" customHeight="1" thickBot="1">
      <c r="A63" s="262" t="s">
        <v>153</v>
      </c>
      <c r="B63" s="263"/>
      <c r="C63" s="263"/>
      <c r="D63" s="264"/>
      <c r="E63" s="279" t="s">
        <v>64</v>
      </c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1"/>
      <c r="AB63" s="89"/>
      <c r="AC63" s="89"/>
      <c r="AD63" s="89"/>
      <c r="AE63" s="89"/>
      <c r="AF63" s="265" t="s">
        <v>65</v>
      </c>
      <c r="AG63" s="266"/>
      <c r="AH63" s="266"/>
      <c r="AI63" s="267" t="s">
        <v>147</v>
      </c>
      <c r="AJ63" s="268"/>
      <c r="AK63" s="268"/>
      <c r="AL63" s="268"/>
      <c r="AM63" s="269"/>
    </row>
    <row r="64" spans="1:39" ht="167.45" customHeight="1" thickBot="1">
      <c r="A64" s="270"/>
      <c r="B64" s="271"/>
      <c r="C64" s="271"/>
      <c r="D64" s="271"/>
      <c r="E64" s="156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91"/>
      <c r="AC64" s="91"/>
      <c r="AD64" s="91"/>
      <c r="AE64" s="91"/>
      <c r="AF64" s="103" t="s">
        <v>202</v>
      </c>
      <c r="AG64" s="272"/>
      <c r="AH64" s="273"/>
      <c r="AI64" s="274" t="s">
        <v>201</v>
      </c>
      <c r="AJ64" s="274"/>
      <c r="AK64" s="274"/>
      <c r="AL64" s="274"/>
      <c r="AM64" s="275"/>
    </row>
    <row r="65" spans="1:39" ht="66.95" customHeight="1">
      <c r="A65" s="276" t="s">
        <v>66</v>
      </c>
      <c r="B65" s="277"/>
      <c r="C65" s="277"/>
      <c r="D65" s="278"/>
      <c r="E65" s="158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91"/>
      <c r="AC65" s="91"/>
      <c r="AD65" s="91"/>
      <c r="AE65" s="91"/>
      <c r="AF65" s="104" t="s">
        <v>205</v>
      </c>
      <c r="AG65" s="272"/>
      <c r="AH65" s="273"/>
      <c r="AI65" s="266" t="s">
        <v>146</v>
      </c>
      <c r="AJ65" s="266"/>
      <c r="AK65" s="266"/>
      <c r="AL65" s="90" t="s">
        <v>67</v>
      </c>
      <c r="AM65" s="92" t="s">
        <v>68</v>
      </c>
    </row>
    <row r="66" spans="1:39" ht="59.1" customHeight="1">
      <c r="A66" s="252" t="s">
        <v>11</v>
      </c>
      <c r="B66" s="253"/>
      <c r="C66" s="253"/>
      <c r="D66" s="254"/>
      <c r="E66" s="160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93"/>
      <c r="AC66" s="93"/>
      <c r="AD66" s="93"/>
      <c r="AE66" s="93"/>
      <c r="AF66" s="255" t="s">
        <v>204</v>
      </c>
      <c r="AG66" s="257"/>
      <c r="AH66" s="258"/>
      <c r="AI66" s="162" t="s">
        <v>69</v>
      </c>
      <c r="AJ66" s="163"/>
      <c r="AK66" s="163"/>
      <c r="AL66" s="177"/>
      <c r="AM66" s="94"/>
    </row>
    <row r="67" spans="1:39" ht="76.5" customHeight="1">
      <c r="A67" s="282" t="s">
        <v>12</v>
      </c>
      <c r="B67" s="283"/>
      <c r="C67" s="283"/>
      <c r="D67" s="284"/>
      <c r="E67" s="248" t="s">
        <v>200</v>
      </c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49"/>
      <c r="Y67" s="249"/>
      <c r="Z67" s="249"/>
      <c r="AA67" s="250"/>
      <c r="AB67" s="91"/>
      <c r="AC67" s="91"/>
      <c r="AD67" s="91"/>
      <c r="AE67" s="91"/>
      <c r="AF67" s="256"/>
      <c r="AG67" s="259"/>
      <c r="AH67" s="260"/>
      <c r="AI67" s="162" t="s">
        <v>70</v>
      </c>
      <c r="AJ67" s="163"/>
      <c r="AK67" s="163"/>
      <c r="AL67" s="178"/>
      <c r="AM67" s="94"/>
    </row>
    <row r="68" spans="1:39" ht="86.45" customHeight="1">
      <c r="A68" s="142" t="s">
        <v>13</v>
      </c>
      <c r="B68" s="143"/>
      <c r="C68" s="143"/>
      <c r="D68" s="144"/>
      <c r="E68" s="186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8"/>
      <c r="AB68" s="93"/>
      <c r="AC68" s="93"/>
      <c r="AD68" s="93"/>
      <c r="AE68" s="93"/>
      <c r="AF68" s="105" t="s">
        <v>203</v>
      </c>
      <c r="AG68" s="272"/>
      <c r="AH68" s="273"/>
      <c r="AI68" s="162" t="s">
        <v>71</v>
      </c>
      <c r="AJ68" s="163"/>
      <c r="AK68" s="163"/>
      <c r="AL68" s="178"/>
      <c r="AM68" s="95"/>
    </row>
    <row r="69" spans="1:39" ht="86.45" customHeight="1">
      <c r="A69" s="142" t="s">
        <v>14</v>
      </c>
      <c r="B69" s="143"/>
      <c r="C69" s="143"/>
      <c r="D69" s="144"/>
      <c r="E69" s="251" t="s">
        <v>145</v>
      </c>
      <c r="F69" s="249"/>
      <c r="G69" s="249"/>
      <c r="H69" s="249"/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  <c r="Y69" s="249"/>
      <c r="Z69" s="249"/>
      <c r="AA69" s="250"/>
      <c r="AB69" s="96"/>
      <c r="AC69" s="96"/>
      <c r="AD69" s="96"/>
      <c r="AE69" s="96"/>
      <c r="AF69" s="166" t="s">
        <v>149</v>
      </c>
      <c r="AG69" s="167"/>
      <c r="AH69" s="168"/>
      <c r="AI69" s="162" t="s">
        <v>72</v>
      </c>
      <c r="AJ69" s="163"/>
      <c r="AK69" s="163"/>
      <c r="AL69" s="178"/>
      <c r="AM69" s="95"/>
    </row>
    <row r="70" spans="1:39" ht="86.45" customHeight="1">
      <c r="A70" s="142" t="s">
        <v>73</v>
      </c>
      <c r="B70" s="143"/>
      <c r="C70" s="143"/>
      <c r="D70" s="144"/>
      <c r="E70" s="186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76"/>
      <c r="AC70" s="76"/>
      <c r="AD70" s="76"/>
      <c r="AE70" s="76"/>
      <c r="AF70" s="175"/>
      <c r="AG70" s="161"/>
      <c r="AH70" s="176"/>
      <c r="AI70" s="162" t="s">
        <v>74</v>
      </c>
      <c r="AJ70" s="163"/>
      <c r="AK70" s="163"/>
      <c r="AL70" s="178"/>
      <c r="AM70" s="95"/>
    </row>
    <row r="71" spans="1:39" ht="86.45" customHeight="1">
      <c r="A71" s="142" t="s">
        <v>16</v>
      </c>
      <c r="B71" s="143"/>
      <c r="C71" s="143"/>
      <c r="D71" s="144"/>
      <c r="E71" s="183" t="s">
        <v>162</v>
      </c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5"/>
      <c r="AB71" s="96"/>
      <c r="AC71" s="96"/>
      <c r="AD71" s="96"/>
      <c r="AE71" s="96"/>
      <c r="AF71" s="166" t="s">
        <v>148</v>
      </c>
      <c r="AG71" s="167"/>
      <c r="AH71" s="168"/>
      <c r="AI71" s="162" t="s">
        <v>75</v>
      </c>
      <c r="AJ71" s="163"/>
      <c r="AK71" s="163"/>
      <c r="AL71" s="178"/>
      <c r="AM71" s="95"/>
    </row>
    <row r="72" spans="1:39" ht="86.45" customHeight="1">
      <c r="A72" s="142" t="s">
        <v>17</v>
      </c>
      <c r="B72" s="143"/>
      <c r="C72" s="143"/>
      <c r="D72" s="144"/>
      <c r="E72" s="189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1"/>
      <c r="AB72" s="97"/>
      <c r="AC72" s="97"/>
      <c r="AD72" s="97"/>
      <c r="AE72" s="97"/>
      <c r="AF72" s="175"/>
      <c r="AG72" s="161"/>
      <c r="AH72" s="176"/>
      <c r="AI72" s="162" t="s">
        <v>76</v>
      </c>
      <c r="AJ72" s="163"/>
      <c r="AK72" s="163"/>
      <c r="AL72" s="178"/>
      <c r="AM72" s="95"/>
    </row>
    <row r="73" spans="1:39" ht="86.45" customHeight="1">
      <c r="A73" s="142" t="s">
        <v>18</v>
      </c>
      <c r="B73" s="143"/>
      <c r="C73" s="143"/>
      <c r="D73" s="144"/>
      <c r="E73" s="150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2"/>
      <c r="AB73" s="97"/>
      <c r="AC73" s="97"/>
      <c r="AD73" s="97"/>
      <c r="AE73" s="97"/>
      <c r="AF73" s="166" t="s">
        <v>77</v>
      </c>
      <c r="AG73" s="167"/>
      <c r="AH73" s="168"/>
      <c r="AI73" s="162" t="s">
        <v>78</v>
      </c>
      <c r="AJ73" s="163"/>
      <c r="AK73" s="163"/>
      <c r="AL73" s="178"/>
      <c r="AM73" s="95"/>
    </row>
    <row r="74" spans="1:39" ht="86.45" customHeight="1" thickBot="1">
      <c r="A74" s="142" t="s">
        <v>19</v>
      </c>
      <c r="B74" s="143"/>
      <c r="C74" s="143"/>
      <c r="D74" s="144"/>
      <c r="E74" s="150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2"/>
      <c r="AB74" s="97"/>
      <c r="AC74" s="97"/>
      <c r="AD74" s="97"/>
      <c r="AE74" s="97"/>
      <c r="AF74" s="175"/>
      <c r="AG74" s="161"/>
      <c r="AH74" s="176"/>
      <c r="AI74" s="162" t="s">
        <v>143</v>
      </c>
      <c r="AJ74" s="163"/>
      <c r="AK74" s="163"/>
      <c r="AL74" s="178"/>
      <c r="AM74" s="95"/>
    </row>
    <row r="75" spans="1:39" ht="86.45" customHeight="1">
      <c r="A75" s="142" t="s">
        <v>20</v>
      </c>
      <c r="B75" s="143"/>
      <c r="C75" s="143"/>
      <c r="D75" s="144"/>
      <c r="E75" s="153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5"/>
      <c r="AB75" s="97"/>
      <c r="AC75" s="97"/>
      <c r="AD75" s="97"/>
      <c r="AE75" s="97"/>
      <c r="AF75" s="166" t="s">
        <v>150</v>
      </c>
      <c r="AG75" s="167"/>
      <c r="AH75" s="168"/>
      <c r="AI75" s="164" t="s">
        <v>144</v>
      </c>
      <c r="AJ75" s="165"/>
      <c r="AK75" s="165"/>
      <c r="AL75" s="178"/>
      <c r="AM75" s="98"/>
    </row>
    <row r="76" spans="1:39" ht="86.45" customHeight="1">
      <c r="A76" s="126"/>
      <c r="B76" s="127"/>
      <c r="C76" s="127"/>
      <c r="D76" s="128"/>
      <c r="E76" s="130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2"/>
      <c r="AB76" s="97"/>
      <c r="AC76" s="97"/>
      <c r="AD76" s="97"/>
      <c r="AE76" s="97"/>
      <c r="AF76" s="169"/>
      <c r="AG76" s="170"/>
      <c r="AH76" s="171"/>
      <c r="AI76" s="136" t="s">
        <v>226</v>
      </c>
      <c r="AJ76" s="137"/>
      <c r="AK76" s="138"/>
      <c r="AL76" s="178"/>
      <c r="AM76" s="98"/>
    </row>
    <row r="77" spans="1:39" ht="86.45" customHeight="1" thickBot="1">
      <c r="A77" s="126"/>
      <c r="B77" s="127"/>
      <c r="C77" s="127"/>
      <c r="D77" s="128"/>
      <c r="E77" s="133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5"/>
      <c r="AB77" s="97"/>
      <c r="AC77" s="97"/>
      <c r="AD77" s="97"/>
      <c r="AE77" s="97"/>
      <c r="AF77" s="169"/>
      <c r="AG77" s="170"/>
      <c r="AH77" s="171"/>
      <c r="AI77" s="139" t="s">
        <v>225</v>
      </c>
      <c r="AJ77" s="140"/>
      <c r="AK77" s="141"/>
      <c r="AL77" s="178"/>
      <c r="AM77" s="98"/>
    </row>
    <row r="78" spans="1:39" ht="86.45" customHeight="1" thickBot="1">
      <c r="A78" s="142" t="s">
        <v>21</v>
      </c>
      <c r="B78" s="143"/>
      <c r="C78" s="143"/>
      <c r="D78" s="144"/>
      <c r="E78" s="180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2"/>
      <c r="AB78" s="77"/>
      <c r="AC78" s="77"/>
      <c r="AD78" s="77"/>
      <c r="AE78" s="77"/>
      <c r="AF78" s="172"/>
      <c r="AG78" s="173"/>
      <c r="AH78" s="174"/>
      <c r="AI78" s="251" t="s">
        <v>79</v>
      </c>
      <c r="AJ78" s="249"/>
      <c r="AK78" s="250"/>
      <c r="AL78" s="179"/>
      <c r="AM78" s="99"/>
    </row>
    <row r="79" spans="1:39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</row>
    <row r="80" spans="1:39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</row>
  </sheetData>
  <mergeCells count="162">
    <mergeCell ref="AK56:AL56"/>
    <mergeCell ref="AK57:AL57"/>
    <mergeCell ref="AA55:AF55"/>
    <mergeCell ref="E49:F49"/>
    <mergeCell ref="A78:D78"/>
    <mergeCell ref="AI78:AK78"/>
    <mergeCell ref="A63:D63"/>
    <mergeCell ref="AF63:AH63"/>
    <mergeCell ref="AI63:AM63"/>
    <mergeCell ref="A64:D64"/>
    <mergeCell ref="AG64:AH64"/>
    <mergeCell ref="AI64:AM64"/>
    <mergeCell ref="A65:D65"/>
    <mergeCell ref="AG65:AH65"/>
    <mergeCell ref="AI65:AK65"/>
    <mergeCell ref="E63:AA63"/>
    <mergeCell ref="A71:D71"/>
    <mergeCell ref="AI71:AK71"/>
    <mergeCell ref="AI67:AK67"/>
    <mergeCell ref="A68:D68"/>
    <mergeCell ref="AG68:AH68"/>
    <mergeCell ref="AI68:AK68"/>
    <mergeCell ref="A67:D67"/>
    <mergeCell ref="A69:D69"/>
    <mergeCell ref="AI69:AK69"/>
    <mergeCell ref="A70:D70"/>
    <mergeCell ref="AI70:AK70"/>
    <mergeCell ref="E67:AA67"/>
    <mergeCell ref="E69:AA69"/>
    <mergeCell ref="A66:D66"/>
    <mergeCell ref="AF66:AF67"/>
    <mergeCell ref="AG66:AH67"/>
    <mergeCell ref="AI66:AK66"/>
    <mergeCell ref="A37:D37"/>
    <mergeCell ref="E37:F37"/>
    <mergeCell ref="AF37:AJ37"/>
    <mergeCell ref="A38:D38"/>
    <mergeCell ref="E38:F38"/>
    <mergeCell ref="AF38:AJ38"/>
    <mergeCell ref="AF45:AJ45"/>
    <mergeCell ref="AF46:AJ46"/>
    <mergeCell ref="AF47:AJ47"/>
    <mergeCell ref="A39:D39"/>
    <mergeCell ref="A40:D40"/>
    <mergeCell ref="A41:D41"/>
    <mergeCell ref="A42:D42"/>
    <mergeCell ref="A45:D45"/>
    <mergeCell ref="A51:AM51"/>
    <mergeCell ref="AK54:AL54"/>
    <mergeCell ref="AK55:AL55"/>
    <mergeCell ref="A43:D43"/>
    <mergeCell ref="A44:D44"/>
    <mergeCell ref="A46:D46"/>
    <mergeCell ref="A47:D47"/>
    <mergeCell ref="A48:D48"/>
    <mergeCell ref="AF43:AJ43"/>
    <mergeCell ref="AF44:AJ44"/>
    <mergeCell ref="E43:F43"/>
    <mergeCell ref="E44:F44"/>
    <mergeCell ref="E45:F45"/>
    <mergeCell ref="E46:F46"/>
    <mergeCell ref="E47:F47"/>
    <mergeCell ref="E48:F48"/>
    <mergeCell ref="A1:AM1"/>
    <mergeCell ref="A2:C2"/>
    <mergeCell ref="D2:F2"/>
    <mergeCell ref="A3:C3"/>
    <mergeCell ref="D3:F3"/>
    <mergeCell ref="AH3:AJ3"/>
    <mergeCell ref="AI57:AI58"/>
    <mergeCell ref="D4:F4"/>
    <mergeCell ref="A5:C7"/>
    <mergeCell ref="D5:F5"/>
    <mergeCell ref="D6:F6"/>
    <mergeCell ref="D7:F7"/>
    <mergeCell ref="A29:D29"/>
    <mergeCell ref="E29:F29"/>
    <mergeCell ref="AF29:AJ29"/>
    <mergeCell ref="A30:D30"/>
    <mergeCell ref="E30:F30"/>
    <mergeCell ref="AF30:AJ30"/>
    <mergeCell ref="AF8:AG8"/>
    <mergeCell ref="A9:AK9"/>
    <mergeCell ref="A28:D28"/>
    <mergeCell ref="E28:F28"/>
    <mergeCell ref="A31:D31"/>
    <mergeCell ref="A4:C4"/>
    <mergeCell ref="G8:AA8"/>
    <mergeCell ref="AH8:AL8"/>
    <mergeCell ref="AH4:AJ4"/>
    <mergeCell ref="AH5:AJ5"/>
    <mergeCell ref="AH6:AJ6"/>
    <mergeCell ref="AH7:AJ7"/>
    <mergeCell ref="B12:E12"/>
    <mergeCell ref="AJ12:AL12"/>
    <mergeCell ref="A10:AM10"/>
    <mergeCell ref="G2:AG7"/>
    <mergeCell ref="AH2:AL2"/>
    <mergeCell ref="A8:C8"/>
    <mergeCell ref="Q12:AG12"/>
    <mergeCell ref="Q16:AG18"/>
    <mergeCell ref="Q20:AG21"/>
    <mergeCell ref="Q24:AG25"/>
    <mergeCell ref="E31:F31"/>
    <mergeCell ref="AF31:AJ31"/>
    <mergeCell ref="A32:D32"/>
    <mergeCell ref="E32:F32"/>
    <mergeCell ref="AF32:AJ32"/>
    <mergeCell ref="AF28:AJ28"/>
    <mergeCell ref="AF26:AH27"/>
    <mergeCell ref="AF22:AH23"/>
    <mergeCell ref="B14:E16"/>
    <mergeCell ref="B17:E21"/>
    <mergeCell ref="Q13:AG15"/>
    <mergeCell ref="E74:AA74"/>
    <mergeCell ref="A73:D73"/>
    <mergeCell ref="A74:D74"/>
    <mergeCell ref="AJ13:AL14"/>
    <mergeCell ref="AJ16:AL17"/>
    <mergeCell ref="AJ20:AL21"/>
    <mergeCell ref="AJ24:AL25"/>
    <mergeCell ref="A52:AM52"/>
    <mergeCell ref="F59:G59"/>
    <mergeCell ref="B22:E26"/>
    <mergeCell ref="A35:D35"/>
    <mergeCell ref="E35:F35"/>
    <mergeCell ref="AF35:AJ35"/>
    <mergeCell ref="A36:D36"/>
    <mergeCell ref="E36:F36"/>
    <mergeCell ref="AF36:AJ36"/>
    <mergeCell ref="A33:D33"/>
    <mergeCell ref="E33:F33"/>
    <mergeCell ref="AF33:AJ33"/>
    <mergeCell ref="A34:D34"/>
    <mergeCell ref="E34:F34"/>
    <mergeCell ref="AF34:AJ34"/>
    <mergeCell ref="AF48:AJ48"/>
    <mergeCell ref="AF49:AJ49"/>
    <mergeCell ref="E76:AA77"/>
    <mergeCell ref="AI76:AK76"/>
    <mergeCell ref="AI77:AK77"/>
    <mergeCell ref="A75:D75"/>
    <mergeCell ref="A72:D72"/>
    <mergeCell ref="A49:D49"/>
    <mergeCell ref="A50:AM50"/>
    <mergeCell ref="E73:AA73"/>
    <mergeCell ref="E75:AA75"/>
    <mergeCell ref="E64:AA66"/>
    <mergeCell ref="AI72:AK72"/>
    <mergeCell ref="AI74:AK74"/>
    <mergeCell ref="AI73:AK73"/>
    <mergeCell ref="AI75:AK75"/>
    <mergeCell ref="AF75:AH78"/>
    <mergeCell ref="AF73:AH74"/>
    <mergeCell ref="AF69:AH70"/>
    <mergeCell ref="AF71:AH72"/>
    <mergeCell ref="AL66:AL78"/>
    <mergeCell ref="E78:AA78"/>
    <mergeCell ref="E71:AA71"/>
    <mergeCell ref="E70:AA70"/>
    <mergeCell ref="E68:AA68"/>
    <mergeCell ref="E72:AA72"/>
  </mergeCells>
  <conditionalFormatting sqref="J29:J49">
    <cfRule type="cellIs" dxfId="27" priority="13" stopIfTrue="1" operator="between">
      <formula>225</formula>
      <formula>625</formula>
    </cfRule>
    <cfRule type="cellIs" dxfId="26" priority="14" stopIfTrue="1" operator="between">
      <formula>125</formula>
      <formula>224</formula>
    </cfRule>
    <cfRule type="cellIs" dxfId="25" priority="15" stopIfTrue="1" operator="between">
      <formula>51</formula>
      <formula>124</formula>
    </cfRule>
    <cfRule type="cellIs" dxfId="24" priority="16" stopIfTrue="1" operator="between">
      <formula>1</formula>
      <formula>50</formula>
    </cfRule>
  </conditionalFormatting>
  <conditionalFormatting sqref="R29 V29 Z29 N29:N49">
    <cfRule type="cellIs" dxfId="23" priority="21" stopIfTrue="1" operator="between">
      <formula>225</formula>
      <formula>625</formula>
    </cfRule>
    <cfRule type="cellIs" dxfId="22" priority="22" stopIfTrue="1" operator="between">
      <formula>125</formula>
      <formula>224</formula>
    </cfRule>
    <cfRule type="cellIs" dxfId="21" priority="23" stopIfTrue="1" operator="between">
      <formula>51</formula>
      <formula>124</formula>
    </cfRule>
    <cfRule type="cellIs" dxfId="20" priority="24" stopIfTrue="1" operator="between">
      <formula>1</formula>
      <formula>50</formula>
    </cfRule>
  </conditionalFormatting>
  <conditionalFormatting sqref="AA29:AA49">
    <cfRule type="cellIs" dxfId="19" priority="9" stopIfTrue="1" operator="between">
      <formula>225</formula>
      <formula>625</formula>
    </cfRule>
    <cfRule type="cellIs" dxfId="18" priority="10" stopIfTrue="1" operator="between">
      <formula>125</formula>
      <formula>224</formula>
    </cfRule>
    <cfRule type="cellIs" dxfId="17" priority="11" stopIfTrue="1" operator="between">
      <formula>51</formula>
      <formula>124</formula>
    </cfRule>
    <cfRule type="cellIs" dxfId="16" priority="12" stopIfTrue="1" operator="between">
      <formula>1</formula>
      <formula>50</formula>
    </cfRule>
  </conditionalFormatting>
  <conditionalFormatting sqref="AL29:AL49">
    <cfRule type="cellIs" dxfId="15" priority="1" stopIfTrue="1" operator="between">
      <formula>225</formula>
      <formula>625</formula>
    </cfRule>
    <cfRule type="cellIs" dxfId="14" priority="2" stopIfTrue="1" operator="between">
      <formula>125</formula>
      <formula>224</formula>
    </cfRule>
    <cfRule type="cellIs" dxfId="13" priority="3" stopIfTrue="1" operator="between">
      <formula>51</formula>
      <formula>124</formula>
    </cfRule>
    <cfRule type="cellIs" dxfId="12" priority="4" stopIfTrue="1" operator="between">
      <formula>1</formula>
      <formula>50</formula>
    </cfRule>
  </conditionalFormatting>
  <dataValidations disablePrompts="1" count="1">
    <dataValidation type="list" allowBlank="1" showInputMessage="1" showErrorMessage="1" sqref="Q29:Q49 L29:L49 G29:I49 AK29:AK49" xr:uid="{A42025C0-25D2-431A-8CE3-790CB10B49FB}">
      <formula1>"1,2,3,4,5"</formula1>
    </dataValidation>
  </dataValidations>
  <printOptions horizontalCentered="1"/>
  <pageMargins left="0.70866141732283505" right="0.70866141732283505" top="0.74803149606299202" bottom="0.74803149606299202" header="0.31496062992126" footer="0.31496062992126"/>
  <pageSetup scale="28" fitToHeight="2" orientation="landscape" r:id="rId1"/>
  <headerFooter>
    <oddFooter xml:space="preserve">&amp;L&amp;K00000016-HS80-8000-00031 Rev. I / 16-HS20-8000-00037&amp;RTiempo de retención: 1 año en el punto de Origen. Archivo muerto: No aplica   
  Medio de Registro Electrónico </oddFooter>
  </headerFooter>
  <rowBreaks count="1" manualBreakCount="1">
    <brk id="49" max="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5189-BE0E-4394-A515-62AF030B4D41}">
  <dimension ref="A1:AQ96"/>
  <sheetViews>
    <sheetView showGridLines="0" view="pageBreakPreview" zoomScale="30" zoomScaleNormal="40" zoomScaleSheetLayoutView="30" zoomScalePageLayoutView="30" workbookViewId="0">
      <selection activeCell="AF31" sqref="AF31:AJ31"/>
    </sheetView>
  </sheetViews>
  <sheetFormatPr defaultColWidth="8.7109375" defaultRowHeight="18.75"/>
  <cols>
    <col min="1" max="1" width="18.28515625" style="6" customWidth="1"/>
    <col min="2" max="2" width="3.140625" style="6" customWidth="1"/>
    <col min="3" max="3" width="23.5703125" style="6" customWidth="1"/>
    <col min="4" max="4" width="25.42578125" style="6" customWidth="1"/>
    <col min="5" max="5" width="63.7109375" style="6" customWidth="1"/>
    <col min="6" max="6" width="29.85546875" style="6" customWidth="1"/>
    <col min="7" max="7" width="15.42578125" style="6" customWidth="1"/>
    <col min="8" max="11" width="29.85546875" style="6" hidden="1" customWidth="1"/>
    <col min="12" max="12" width="14.5703125" style="6" customWidth="1"/>
    <col min="13" max="16" width="29.85546875" style="6" hidden="1" customWidth="1"/>
    <col min="17" max="17" width="17.140625" style="6" customWidth="1"/>
    <col min="18" max="26" width="29.85546875" style="6" hidden="1" customWidth="1"/>
    <col min="27" max="27" width="16" style="6" customWidth="1"/>
    <col min="28" max="31" width="29.85546875" style="6" hidden="1" customWidth="1"/>
    <col min="32" max="32" width="19.28515625" style="6" customWidth="1"/>
    <col min="33" max="33" width="11.28515625" style="6" customWidth="1"/>
    <col min="34" max="34" width="17.85546875" style="6" customWidth="1"/>
    <col min="35" max="35" width="40.85546875" style="6" customWidth="1"/>
    <col min="36" max="36" width="28.42578125" style="6" customWidth="1"/>
    <col min="37" max="37" width="24.28515625" style="6" customWidth="1"/>
    <col min="38" max="38" width="21" style="6" customWidth="1"/>
    <col min="39" max="39" width="37.42578125" style="6" customWidth="1"/>
    <col min="40" max="16384" width="8.7109375" style="6"/>
  </cols>
  <sheetData>
    <row r="1" spans="1:40" ht="36" customHeight="1" thickBot="1">
      <c r="A1" s="306" t="s">
        <v>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8"/>
    </row>
    <row r="2" spans="1:40" ht="41.25" customHeight="1">
      <c r="A2" s="309" t="s">
        <v>175</v>
      </c>
      <c r="B2" s="310"/>
      <c r="C2" s="310"/>
      <c r="D2" s="311">
        <v>45708</v>
      </c>
      <c r="E2" s="220"/>
      <c r="F2" s="220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220"/>
      <c r="AI2" s="220"/>
      <c r="AJ2" s="220"/>
      <c r="AK2" s="220"/>
      <c r="AL2" s="221"/>
      <c r="AM2" s="100" t="s">
        <v>176</v>
      </c>
    </row>
    <row r="3" spans="1:40" ht="30" customHeight="1">
      <c r="A3" s="226" t="s">
        <v>174</v>
      </c>
      <c r="B3" s="214"/>
      <c r="C3" s="214"/>
      <c r="D3" s="227" t="s">
        <v>80</v>
      </c>
      <c r="E3" s="227"/>
      <c r="F3" s="227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3"/>
      <c r="AH3" s="228" t="s">
        <v>1</v>
      </c>
      <c r="AI3" s="228"/>
      <c r="AJ3" s="228"/>
      <c r="AK3" s="36" t="s">
        <v>2</v>
      </c>
      <c r="AL3" s="37" t="s">
        <v>3</v>
      </c>
      <c r="AM3" s="38" t="s">
        <v>177</v>
      </c>
    </row>
    <row r="4" spans="1:40" ht="30" customHeight="1">
      <c r="A4" s="243" t="s">
        <v>173</v>
      </c>
      <c r="B4" s="244"/>
      <c r="C4" s="244"/>
      <c r="D4" s="227" t="s">
        <v>81</v>
      </c>
      <c r="E4" s="227"/>
      <c r="F4" s="227"/>
      <c r="G4" s="313"/>
      <c r="H4" s="313"/>
      <c r="I4" s="313"/>
      <c r="J4" s="313"/>
      <c r="K4" s="313"/>
      <c r="L4" s="313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  <c r="AD4" s="313"/>
      <c r="AE4" s="313"/>
      <c r="AF4" s="313"/>
      <c r="AG4" s="313"/>
      <c r="AH4" s="207" t="s">
        <v>183</v>
      </c>
      <c r="AI4" s="208"/>
      <c r="AJ4" s="209"/>
      <c r="AK4" s="40"/>
      <c r="AL4" s="41"/>
      <c r="AM4" s="38" t="s">
        <v>178</v>
      </c>
    </row>
    <row r="5" spans="1:40" ht="30" customHeight="1">
      <c r="A5" s="316" t="s">
        <v>4</v>
      </c>
      <c r="B5" s="237"/>
      <c r="C5" s="317"/>
      <c r="D5" s="230"/>
      <c r="E5" s="227"/>
      <c r="F5" s="231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3"/>
      <c r="AF5" s="313"/>
      <c r="AG5" s="313"/>
      <c r="AH5" s="210" t="s">
        <v>184</v>
      </c>
      <c r="AI5" s="211"/>
      <c r="AJ5" s="212"/>
      <c r="AK5" s="40"/>
      <c r="AL5" s="41"/>
      <c r="AM5" s="38" t="s">
        <v>179</v>
      </c>
    </row>
    <row r="6" spans="1:40" ht="30" customHeight="1">
      <c r="A6" s="226"/>
      <c r="B6" s="214"/>
      <c r="C6" s="318"/>
      <c r="D6" s="230" t="s">
        <v>82</v>
      </c>
      <c r="E6" s="227"/>
      <c r="F6" s="231"/>
      <c r="G6" s="313"/>
      <c r="H6" s="313"/>
      <c r="I6" s="313"/>
      <c r="J6" s="313"/>
      <c r="K6" s="313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210" t="s">
        <v>185</v>
      </c>
      <c r="AI6" s="211"/>
      <c r="AJ6" s="212"/>
      <c r="AK6" s="42"/>
      <c r="AL6" s="41"/>
      <c r="AM6" s="38" t="s">
        <v>180</v>
      </c>
    </row>
    <row r="7" spans="1:40" ht="30" customHeight="1">
      <c r="A7" s="243"/>
      <c r="B7" s="244"/>
      <c r="C7" s="319"/>
      <c r="D7" s="230"/>
      <c r="E7" s="227"/>
      <c r="F7" s="231"/>
      <c r="G7" s="314"/>
      <c r="H7" s="314"/>
      <c r="I7" s="314"/>
      <c r="J7" s="314"/>
      <c r="K7" s="314"/>
      <c r="L7" s="314"/>
      <c r="M7" s="314"/>
      <c r="N7" s="314"/>
      <c r="O7" s="314"/>
      <c r="P7" s="314"/>
      <c r="Q7" s="314"/>
      <c r="R7" s="314"/>
      <c r="S7" s="314"/>
      <c r="T7" s="314"/>
      <c r="U7" s="314"/>
      <c r="V7" s="314"/>
      <c r="W7" s="314"/>
      <c r="X7" s="314"/>
      <c r="Y7" s="314"/>
      <c r="Z7" s="314"/>
      <c r="AA7" s="314"/>
      <c r="AB7" s="314"/>
      <c r="AC7" s="314"/>
      <c r="AD7" s="314"/>
      <c r="AE7" s="314"/>
      <c r="AF7" s="314"/>
      <c r="AG7" s="314"/>
      <c r="AH7" s="210" t="s">
        <v>186</v>
      </c>
      <c r="AI7" s="211"/>
      <c r="AJ7" s="213"/>
      <c r="AK7" s="43"/>
      <c r="AL7" s="44"/>
      <c r="AM7" s="38" t="s">
        <v>181</v>
      </c>
    </row>
    <row r="8" spans="1:40" ht="30" customHeight="1" thickBot="1">
      <c r="A8" s="320" t="s">
        <v>5</v>
      </c>
      <c r="B8" s="321"/>
      <c r="C8" s="322"/>
      <c r="D8" s="230" t="s">
        <v>83</v>
      </c>
      <c r="E8" s="231"/>
      <c r="F8" s="45">
        <v>5163</v>
      </c>
      <c r="G8" s="315" t="s">
        <v>84</v>
      </c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4"/>
      <c r="AB8" s="10"/>
      <c r="AC8" s="10"/>
      <c r="AD8" s="10"/>
      <c r="AE8" s="10"/>
      <c r="AF8" s="236" t="s">
        <v>188</v>
      </c>
      <c r="AG8" s="237"/>
      <c r="AH8" s="205" t="s">
        <v>187</v>
      </c>
      <c r="AI8" s="205"/>
      <c r="AJ8" s="205"/>
      <c r="AK8" s="205"/>
      <c r="AL8" s="206"/>
      <c r="AM8" s="46" t="s">
        <v>182</v>
      </c>
    </row>
    <row r="9" spans="1:40" ht="34.5" customHeight="1" thickBot="1">
      <c r="A9" s="238" t="s">
        <v>189</v>
      </c>
      <c r="B9" s="238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238"/>
      <c r="AI9" s="238"/>
      <c r="AJ9" s="238"/>
      <c r="AK9" s="238"/>
      <c r="AL9" s="101" t="s">
        <v>6</v>
      </c>
      <c r="AM9" s="21"/>
    </row>
    <row r="10" spans="1:40" ht="36" customHeight="1">
      <c r="A10" s="215" t="s">
        <v>139</v>
      </c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7"/>
      <c r="AM10" s="218"/>
    </row>
    <row r="11" spans="1:40" ht="21" customHeight="1">
      <c r="A11" s="47"/>
      <c r="B11" s="48"/>
      <c r="C11" s="48"/>
      <c r="D11" s="48"/>
      <c r="E11" s="48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50"/>
      <c r="AN11" s="7"/>
    </row>
    <row r="12" spans="1:40" ht="71.25" customHeight="1">
      <c r="A12" s="33"/>
      <c r="B12" s="192" t="s">
        <v>135</v>
      </c>
      <c r="C12" s="192"/>
      <c r="D12" s="192"/>
      <c r="E12" s="19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192" t="s">
        <v>190</v>
      </c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34"/>
      <c r="AI12" s="34"/>
      <c r="AJ12" s="214" t="s">
        <v>199</v>
      </c>
      <c r="AK12" s="214"/>
      <c r="AL12" s="214"/>
      <c r="AM12" s="52"/>
      <c r="AN12" s="7"/>
    </row>
    <row r="13" spans="1:40" ht="21" customHeight="1">
      <c r="A13" s="33"/>
      <c r="B13" s="51"/>
      <c r="C13" s="51"/>
      <c r="D13" s="51"/>
      <c r="E13" s="51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192" t="s">
        <v>191</v>
      </c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34"/>
      <c r="AI13" s="34"/>
      <c r="AJ13" s="192" t="s">
        <v>198</v>
      </c>
      <c r="AK13" s="192"/>
      <c r="AL13" s="192"/>
      <c r="AM13" s="52" t="s">
        <v>7</v>
      </c>
      <c r="AN13" s="7"/>
    </row>
    <row r="14" spans="1:40" ht="21" customHeight="1">
      <c r="A14" s="53"/>
      <c r="B14" s="192" t="s">
        <v>136</v>
      </c>
      <c r="C14" s="192"/>
      <c r="D14" s="192"/>
      <c r="E14" s="192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34"/>
      <c r="AI14" s="34"/>
      <c r="AJ14" s="192"/>
      <c r="AK14" s="192"/>
      <c r="AL14" s="192"/>
      <c r="AM14" s="52"/>
      <c r="AN14" s="7"/>
    </row>
    <row r="15" spans="1:40" ht="21" customHeight="1">
      <c r="A15" s="53"/>
      <c r="B15" s="192"/>
      <c r="C15" s="192"/>
      <c r="D15" s="192"/>
      <c r="E15" s="192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34"/>
      <c r="AI15" s="34"/>
      <c r="AJ15" s="34"/>
      <c r="AK15" s="34"/>
      <c r="AL15" s="34"/>
      <c r="AM15" s="52"/>
      <c r="AN15" s="7"/>
    </row>
    <row r="16" spans="1:40" ht="21" customHeight="1">
      <c r="A16" s="53"/>
      <c r="B16" s="192"/>
      <c r="C16" s="192"/>
      <c r="D16" s="192"/>
      <c r="E16" s="192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192" t="s">
        <v>192</v>
      </c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34"/>
      <c r="AI16" s="34"/>
      <c r="AJ16" s="192" t="s">
        <v>197</v>
      </c>
      <c r="AK16" s="192"/>
      <c r="AL16" s="192"/>
      <c r="AM16" s="52"/>
      <c r="AN16" s="7"/>
    </row>
    <row r="17" spans="1:43" ht="21" customHeight="1">
      <c r="A17" s="53"/>
      <c r="B17" s="192" t="s">
        <v>137</v>
      </c>
      <c r="C17" s="192"/>
      <c r="D17" s="192"/>
      <c r="E17" s="192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34"/>
      <c r="AI17" s="34"/>
      <c r="AJ17" s="192"/>
      <c r="AK17" s="192"/>
      <c r="AL17" s="192"/>
      <c r="AM17" s="52"/>
      <c r="AN17" s="7"/>
    </row>
    <row r="18" spans="1:43" ht="21" customHeight="1">
      <c r="A18" s="53"/>
      <c r="B18" s="192"/>
      <c r="C18" s="192"/>
      <c r="D18" s="192"/>
      <c r="E18" s="192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34"/>
      <c r="AI18" s="34"/>
      <c r="AJ18" s="34"/>
      <c r="AK18" s="34"/>
      <c r="AL18" s="34"/>
      <c r="AM18" s="52"/>
      <c r="AN18" s="7"/>
    </row>
    <row r="19" spans="1:43" ht="21" customHeight="1">
      <c r="A19" s="54"/>
      <c r="B19" s="192"/>
      <c r="C19" s="192"/>
      <c r="D19" s="192"/>
      <c r="E19" s="192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51"/>
      <c r="AK19" s="51"/>
      <c r="AL19" s="34"/>
      <c r="AM19" s="52"/>
      <c r="AN19" s="7"/>
    </row>
    <row r="20" spans="1:43" ht="21" customHeight="1">
      <c r="A20" s="55"/>
      <c r="B20" s="192"/>
      <c r="C20" s="192"/>
      <c r="D20" s="192"/>
      <c r="E20" s="192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192" t="s">
        <v>193</v>
      </c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34"/>
      <c r="AI20" s="34"/>
      <c r="AJ20" s="192" t="s">
        <v>196</v>
      </c>
      <c r="AK20" s="192"/>
      <c r="AL20" s="192"/>
      <c r="AM20" s="52"/>
      <c r="AN20" s="7"/>
    </row>
    <row r="21" spans="1:43" ht="21" customHeight="1">
      <c r="A21" s="55"/>
      <c r="B21" s="192"/>
      <c r="C21" s="192"/>
      <c r="D21" s="192"/>
      <c r="E21" s="192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34"/>
      <c r="AI21" s="34"/>
      <c r="AJ21" s="192"/>
      <c r="AK21" s="192"/>
      <c r="AL21" s="192"/>
      <c r="AM21" s="52"/>
      <c r="AN21" s="7"/>
    </row>
    <row r="22" spans="1:43" ht="21" customHeight="1">
      <c r="A22" s="53"/>
      <c r="B22" s="192" t="s">
        <v>138</v>
      </c>
      <c r="C22" s="192"/>
      <c r="D22" s="192"/>
      <c r="E22" s="192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192"/>
      <c r="AG22" s="192"/>
      <c r="AH22" s="192"/>
      <c r="AI22" s="34"/>
      <c r="AJ22" s="51"/>
      <c r="AK22" s="51"/>
      <c r="AL22" s="34"/>
      <c r="AM22" s="52"/>
      <c r="AN22" s="7"/>
    </row>
    <row r="23" spans="1:43" ht="21" customHeight="1">
      <c r="A23" s="53"/>
      <c r="B23" s="192"/>
      <c r="C23" s="192"/>
      <c r="D23" s="192"/>
      <c r="E23" s="192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192"/>
      <c r="AG23" s="192"/>
      <c r="AH23" s="192"/>
      <c r="AI23" s="34"/>
      <c r="AJ23" s="51"/>
      <c r="AK23" s="51"/>
      <c r="AL23" s="34"/>
      <c r="AM23" s="52"/>
      <c r="AN23" s="7"/>
    </row>
    <row r="24" spans="1:43" ht="21" customHeight="1">
      <c r="A24" s="53"/>
      <c r="B24" s="192"/>
      <c r="C24" s="192"/>
      <c r="D24" s="192"/>
      <c r="E24" s="192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192" t="s">
        <v>194</v>
      </c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34"/>
      <c r="AI24" s="34"/>
      <c r="AJ24" s="192" t="s">
        <v>195</v>
      </c>
      <c r="AK24" s="192"/>
      <c r="AL24" s="192"/>
      <c r="AM24" s="52"/>
      <c r="AN24" s="7"/>
    </row>
    <row r="25" spans="1:43" ht="21" customHeight="1">
      <c r="A25" s="53"/>
      <c r="B25" s="192"/>
      <c r="C25" s="192"/>
      <c r="D25" s="192"/>
      <c r="E25" s="192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34"/>
      <c r="AI25" s="34"/>
      <c r="AJ25" s="192"/>
      <c r="AK25" s="192"/>
      <c r="AL25" s="192"/>
      <c r="AM25" s="52"/>
      <c r="AN25" s="7"/>
    </row>
    <row r="26" spans="1:43" ht="21" customHeight="1">
      <c r="A26" s="54"/>
      <c r="B26" s="192"/>
      <c r="C26" s="192"/>
      <c r="D26" s="192"/>
      <c r="E26" s="192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192"/>
      <c r="AG26" s="192"/>
      <c r="AH26" s="192"/>
      <c r="AI26" s="34"/>
      <c r="AJ26" s="34"/>
      <c r="AK26" s="34"/>
      <c r="AL26" s="34"/>
      <c r="AM26" s="52"/>
      <c r="AN26" s="7"/>
      <c r="AO26" s="8"/>
      <c r="AP26" s="8"/>
    </row>
    <row r="27" spans="1:43" ht="21" customHeight="1" thickBot="1">
      <c r="A27" s="54"/>
      <c r="B27" s="35"/>
      <c r="C27" s="56"/>
      <c r="D27" s="56"/>
      <c r="E27" s="56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192"/>
      <c r="AG27" s="192"/>
      <c r="AH27" s="192"/>
      <c r="AI27" s="34"/>
      <c r="AJ27" s="34"/>
      <c r="AK27" s="34"/>
      <c r="AL27" s="34"/>
      <c r="AM27" s="52"/>
      <c r="AN27" s="7"/>
      <c r="AO27" s="8"/>
      <c r="AP27" s="8"/>
      <c r="AQ27" s="8"/>
    </row>
    <row r="28" spans="1:43" ht="213" customHeight="1" thickBot="1">
      <c r="A28" s="323" t="s">
        <v>215</v>
      </c>
      <c r="B28" s="249"/>
      <c r="C28" s="249"/>
      <c r="D28" s="324"/>
      <c r="E28" s="325" t="s">
        <v>216</v>
      </c>
      <c r="F28" s="326"/>
      <c r="G28" s="108" t="s">
        <v>217</v>
      </c>
      <c r="H28" s="109" t="s">
        <v>218</v>
      </c>
      <c r="I28" s="110" t="s">
        <v>219</v>
      </c>
      <c r="J28" s="110" t="s">
        <v>220</v>
      </c>
      <c r="K28" s="111"/>
      <c r="L28" s="108" t="s">
        <v>221</v>
      </c>
      <c r="M28" s="109"/>
      <c r="N28" s="110"/>
      <c r="O28" s="110"/>
      <c r="P28" s="111"/>
      <c r="Q28" s="108" t="s">
        <v>222</v>
      </c>
      <c r="R28" s="109"/>
      <c r="S28" s="110"/>
      <c r="T28" s="110"/>
      <c r="U28" s="110"/>
      <c r="V28" s="110"/>
      <c r="W28" s="110"/>
      <c r="X28" s="110"/>
      <c r="Y28" s="110"/>
      <c r="Z28" s="111"/>
      <c r="AA28" s="108" t="s">
        <v>223</v>
      </c>
      <c r="AB28" s="112"/>
      <c r="AC28" s="113"/>
      <c r="AD28" s="113"/>
      <c r="AE28" s="114"/>
      <c r="AF28" s="325" t="s">
        <v>224</v>
      </c>
      <c r="AG28" s="327"/>
      <c r="AH28" s="327"/>
      <c r="AI28" s="327"/>
      <c r="AJ28" s="328"/>
      <c r="AK28" s="115" t="s">
        <v>8</v>
      </c>
      <c r="AL28" s="116" t="s">
        <v>9</v>
      </c>
      <c r="AM28" s="117" t="s">
        <v>10</v>
      </c>
    </row>
    <row r="29" spans="1:43" ht="65.25" customHeight="1">
      <c r="A29" s="334" t="s">
        <v>85</v>
      </c>
      <c r="B29" s="335"/>
      <c r="C29" s="335"/>
      <c r="D29" s="336"/>
      <c r="E29" s="296" t="s">
        <v>87</v>
      </c>
      <c r="F29" s="293"/>
      <c r="G29" s="118">
        <v>2</v>
      </c>
      <c r="H29" s="118"/>
      <c r="I29" s="118"/>
      <c r="J29" s="119">
        <f t="shared" ref="J29" si="0">G29*H29*I29*5</f>
        <v>0</v>
      </c>
      <c r="K29" s="118"/>
      <c r="L29" s="118">
        <v>3</v>
      </c>
      <c r="M29" s="118"/>
      <c r="N29" s="119"/>
      <c r="O29" s="118"/>
      <c r="P29" s="118"/>
      <c r="Q29" s="118">
        <v>1</v>
      </c>
      <c r="R29" s="119"/>
      <c r="S29" s="118"/>
      <c r="T29" s="118"/>
      <c r="U29" s="118"/>
      <c r="V29" s="119"/>
      <c r="W29" s="118"/>
      <c r="X29" s="118"/>
      <c r="Y29" s="118"/>
      <c r="Z29" s="119"/>
      <c r="AA29" s="119">
        <f t="shared" ref="AA29:AA32" si="1">G29*L29*Q29</f>
        <v>6</v>
      </c>
      <c r="AB29" s="120"/>
      <c r="AC29" s="120"/>
      <c r="AD29" s="120"/>
      <c r="AE29" s="120"/>
      <c r="AF29" s="296" t="s">
        <v>155</v>
      </c>
      <c r="AG29" s="292"/>
      <c r="AH29" s="292"/>
      <c r="AI29" s="292"/>
      <c r="AJ29" s="293"/>
      <c r="AK29" s="118">
        <v>4</v>
      </c>
      <c r="AL29" s="121">
        <f t="shared" ref="AL29:AL32" si="2">IF(AK29=5,(AA29*1),IF(AK29=4,(AA29*0.85),IF(AK29=3,(AA29*0.15),IF(AK29=2,(AA29*0.05),IF(AK29=1,(AA29*-0.0000000000000001),(AA29*1))))))</f>
        <v>5.0999999999999996</v>
      </c>
      <c r="AM29" s="122">
        <f t="shared" ref="AM29:AM32" si="3">IF(AA29=0,0,(AL29-AA29)/AA29)</f>
        <v>-0.15000000000000005</v>
      </c>
    </row>
    <row r="30" spans="1:43" ht="65.25" customHeight="1">
      <c r="A30" s="288"/>
      <c r="B30" s="289"/>
      <c r="C30" s="289"/>
      <c r="D30" s="290"/>
      <c r="E30" s="296" t="s">
        <v>88</v>
      </c>
      <c r="F30" s="293"/>
      <c r="G30" s="118">
        <v>2</v>
      </c>
      <c r="H30" s="118"/>
      <c r="I30" s="118"/>
      <c r="J30" s="119">
        <f t="shared" ref="J30" si="4">G30*H30*I30*5</f>
        <v>0</v>
      </c>
      <c r="K30" s="118"/>
      <c r="L30" s="118">
        <v>1</v>
      </c>
      <c r="M30" s="118"/>
      <c r="N30" s="119"/>
      <c r="O30" s="118"/>
      <c r="P30" s="118"/>
      <c r="Q30" s="118">
        <v>1</v>
      </c>
      <c r="R30" s="119"/>
      <c r="S30" s="118"/>
      <c r="T30" s="118"/>
      <c r="U30" s="118"/>
      <c r="V30" s="119"/>
      <c r="W30" s="118"/>
      <c r="X30" s="118"/>
      <c r="Y30" s="118"/>
      <c r="Z30" s="119"/>
      <c r="AA30" s="119">
        <f t="shared" si="1"/>
        <v>2</v>
      </c>
      <c r="AB30" s="120"/>
      <c r="AC30" s="120"/>
      <c r="AD30" s="120"/>
      <c r="AE30" s="120"/>
      <c r="AF30" s="296" t="s">
        <v>163</v>
      </c>
      <c r="AG30" s="292"/>
      <c r="AH30" s="292"/>
      <c r="AI30" s="292"/>
      <c r="AJ30" s="293"/>
      <c r="AK30" s="118">
        <v>4</v>
      </c>
      <c r="AL30" s="121">
        <f t="shared" si="2"/>
        <v>1.7</v>
      </c>
      <c r="AM30" s="122">
        <f t="shared" si="3"/>
        <v>-0.15000000000000002</v>
      </c>
    </row>
    <row r="31" spans="1:43" ht="65.25" customHeight="1">
      <c r="A31" s="288"/>
      <c r="B31" s="289"/>
      <c r="C31" s="289"/>
      <c r="D31" s="290"/>
      <c r="E31" s="296" t="s">
        <v>141</v>
      </c>
      <c r="F31" s="293"/>
      <c r="G31" s="118">
        <v>1</v>
      </c>
      <c r="H31" s="118"/>
      <c r="I31" s="118"/>
      <c r="J31" s="119">
        <f t="shared" ref="J31" si="5">G31*H31*I31*5</f>
        <v>0</v>
      </c>
      <c r="K31" s="118"/>
      <c r="L31" s="118">
        <v>2</v>
      </c>
      <c r="M31" s="118"/>
      <c r="N31" s="119"/>
      <c r="O31" s="118"/>
      <c r="P31" s="118"/>
      <c r="Q31" s="118">
        <v>2</v>
      </c>
      <c r="R31" s="119"/>
      <c r="S31" s="118"/>
      <c r="T31" s="118"/>
      <c r="U31" s="118"/>
      <c r="V31" s="119"/>
      <c r="W31" s="118"/>
      <c r="X31" s="118"/>
      <c r="Y31" s="118"/>
      <c r="Z31" s="119"/>
      <c r="AA31" s="119">
        <f t="shared" si="1"/>
        <v>4</v>
      </c>
      <c r="AB31" s="120"/>
      <c r="AC31" s="120"/>
      <c r="AD31" s="120"/>
      <c r="AE31" s="120"/>
      <c r="AF31" s="296" t="s">
        <v>154</v>
      </c>
      <c r="AG31" s="292"/>
      <c r="AH31" s="292"/>
      <c r="AI31" s="292"/>
      <c r="AJ31" s="293"/>
      <c r="AK31" s="118">
        <v>4</v>
      </c>
      <c r="AL31" s="121">
        <f t="shared" si="2"/>
        <v>3.4</v>
      </c>
      <c r="AM31" s="122">
        <f t="shared" si="3"/>
        <v>-0.15000000000000002</v>
      </c>
    </row>
    <row r="32" spans="1:43" ht="65.25" customHeight="1">
      <c r="A32" s="291"/>
      <c r="B32" s="292"/>
      <c r="C32" s="292"/>
      <c r="D32" s="293"/>
      <c r="E32" s="296" t="s">
        <v>90</v>
      </c>
      <c r="F32" s="293"/>
      <c r="G32" s="118">
        <v>1</v>
      </c>
      <c r="H32" s="118"/>
      <c r="I32" s="118"/>
      <c r="J32" s="119">
        <f t="shared" ref="J32:J36" si="6">G32*H32*I32*5</f>
        <v>0</v>
      </c>
      <c r="K32" s="118"/>
      <c r="L32" s="118">
        <v>2</v>
      </c>
      <c r="M32" s="118"/>
      <c r="N32" s="119"/>
      <c r="O32" s="118"/>
      <c r="P32" s="118"/>
      <c r="Q32" s="118">
        <v>2</v>
      </c>
      <c r="R32" s="119"/>
      <c r="S32" s="118"/>
      <c r="T32" s="118"/>
      <c r="U32" s="118"/>
      <c r="V32" s="119"/>
      <c r="W32" s="118"/>
      <c r="X32" s="118"/>
      <c r="Y32" s="118"/>
      <c r="Z32" s="119"/>
      <c r="AA32" s="119">
        <f t="shared" si="1"/>
        <v>4</v>
      </c>
      <c r="AB32" s="120"/>
      <c r="AC32" s="120"/>
      <c r="AD32" s="120"/>
      <c r="AE32" s="120"/>
      <c r="AF32" s="296" t="s">
        <v>157</v>
      </c>
      <c r="AG32" s="292"/>
      <c r="AH32" s="292"/>
      <c r="AI32" s="292"/>
      <c r="AJ32" s="293"/>
      <c r="AK32" s="118">
        <v>4</v>
      </c>
      <c r="AL32" s="121">
        <f t="shared" si="2"/>
        <v>3.4</v>
      </c>
      <c r="AM32" s="122">
        <f t="shared" si="3"/>
        <v>-0.15000000000000002</v>
      </c>
    </row>
    <row r="33" spans="1:39" ht="79.5" customHeight="1">
      <c r="A33" s="297" t="s">
        <v>91</v>
      </c>
      <c r="B33" s="298"/>
      <c r="C33" s="298"/>
      <c r="D33" s="299"/>
      <c r="E33" s="296" t="s">
        <v>87</v>
      </c>
      <c r="F33" s="293"/>
      <c r="G33" s="118">
        <v>1</v>
      </c>
      <c r="H33" s="118"/>
      <c r="I33" s="118"/>
      <c r="J33" s="119">
        <f t="shared" si="6"/>
        <v>0</v>
      </c>
      <c r="K33" s="118"/>
      <c r="L33" s="118">
        <v>2</v>
      </c>
      <c r="M33" s="118"/>
      <c r="N33" s="119"/>
      <c r="O33" s="118"/>
      <c r="P33" s="118"/>
      <c r="Q33" s="118">
        <v>1</v>
      </c>
      <c r="R33" s="123"/>
      <c r="S33" s="123"/>
      <c r="T33" s="123"/>
      <c r="U33" s="123"/>
      <c r="V33" s="123"/>
      <c r="W33" s="123"/>
      <c r="X33" s="123"/>
      <c r="Y33" s="123"/>
      <c r="Z33" s="123"/>
      <c r="AA33" s="124">
        <f t="shared" ref="AA33:AA66" si="7">G33*L33*Q33</f>
        <v>2</v>
      </c>
      <c r="AB33" s="125"/>
      <c r="AC33" s="125"/>
      <c r="AD33" s="125"/>
      <c r="AE33" s="125"/>
      <c r="AF33" s="296" t="s">
        <v>155</v>
      </c>
      <c r="AG33" s="292"/>
      <c r="AH33" s="292"/>
      <c r="AI33" s="292"/>
      <c r="AJ33" s="293"/>
      <c r="AK33" s="118">
        <v>4</v>
      </c>
      <c r="AL33" s="121">
        <f t="shared" ref="AL33:AL66" si="8">IF(AK33=5,(AA33*1),IF(AK33=4,(AA33*0.85),IF(AK33=3,(AA33*0.15),IF(AK33=2,(AA33*0.05),IF(AK33=1,(AA33*-0.0000000000000001),(AA33*1))))))</f>
        <v>1.7</v>
      </c>
      <c r="AM33" s="122">
        <f t="shared" ref="AM33:AM66" si="9">IF(AA33=0,0,(AL33-AA33)/AA33)</f>
        <v>-0.15000000000000002</v>
      </c>
    </row>
    <row r="34" spans="1:39" ht="80.25" customHeight="1">
      <c r="A34" s="288"/>
      <c r="B34" s="289"/>
      <c r="C34" s="289"/>
      <c r="D34" s="290"/>
      <c r="E34" s="296" t="s">
        <v>88</v>
      </c>
      <c r="F34" s="293"/>
      <c r="G34" s="118">
        <v>2</v>
      </c>
      <c r="H34" s="118"/>
      <c r="I34" s="118"/>
      <c r="J34" s="119">
        <f t="shared" si="6"/>
        <v>0</v>
      </c>
      <c r="K34" s="118"/>
      <c r="L34" s="118">
        <v>3</v>
      </c>
      <c r="M34" s="118"/>
      <c r="N34" s="119"/>
      <c r="O34" s="118"/>
      <c r="P34" s="118"/>
      <c r="Q34" s="118">
        <v>1</v>
      </c>
      <c r="R34" s="119"/>
      <c r="S34" s="118"/>
      <c r="T34" s="118"/>
      <c r="U34" s="118"/>
      <c r="V34" s="119"/>
      <c r="W34" s="118"/>
      <c r="X34" s="118"/>
      <c r="Y34" s="118"/>
      <c r="Z34" s="119"/>
      <c r="AA34" s="119">
        <f t="shared" ref="AA34:AA36" si="10">G34*L34*Q34</f>
        <v>6</v>
      </c>
      <c r="AB34" s="120"/>
      <c r="AC34" s="120"/>
      <c r="AD34" s="120"/>
      <c r="AE34" s="120"/>
      <c r="AF34" s="296" t="s">
        <v>163</v>
      </c>
      <c r="AG34" s="292"/>
      <c r="AH34" s="292"/>
      <c r="AI34" s="292"/>
      <c r="AJ34" s="293"/>
      <c r="AK34" s="118">
        <v>4</v>
      </c>
      <c r="AL34" s="121">
        <f t="shared" ref="AL34:AL36" si="11">IF(AK34=5,(AA34*1),IF(AK34=4,(AA34*0.85),IF(AK34=3,(AA34*0.15),IF(AK34=2,(AA34*0.05),IF(AK34=1,(AA34*-0.0000000000000001),(AA34*1))))))</f>
        <v>5.0999999999999996</v>
      </c>
      <c r="AM34" s="122">
        <f t="shared" ref="AM34:AM36" si="12">IF(AA34=0,0,(AL34-AA34)/AA34)</f>
        <v>-0.15000000000000005</v>
      </c>
    </row>
    <row r="35" spans="1:39" ht="80.25" customHeight="1">
      <c r="A35" s="288"/>
      <c r="B35" s="289"/>
      <c r="C35" s="289"/>
      <c r="D35" s="290"/>
      <c r="E35" s="296" t="s">
        <v>141</v>
      </c>
      <c r="F35" s="293"/>
      <c r="G35" s="118">
        <v>2</v>
      </c>
      <c r="H35" s="118"/>
      <c r="I35" s="118"/>
      <c r="J35" s="119">
        <f t="shared" si="6"/>
        <v>0</v>
      </c>
      <c r="K35" s="118"/>
      <c r="L35" s="118">
        <v>3</v>
      </c>
      <c r="M35" s="118"/>
      <c r="N35" s="119"/>
      <c r="O35" s="118"/>
      <c r="P35" s="118"/>
      <c r="Q35" s="118">
        <v>1</v>
      </c>
      <c r="R35" s="119"/>
      <c r="S35" s="118"/>
      <c r="T35" s="118"/>
      <c r="U35" s="118"/>
      <c r="V35" s="119"/>
      <c r="W35" s="118"/>
      <c r="X35" s="118"/>
      <c r="Y35" s="118"/>
      <c r="Z35" s="119"/>
      <c r="AA35" s="119">
        <f t="shared" si="10"/>
        <v>6</v>
      </c>
      <c r="AB35" s="120"/>
      <c r="AC35" s="120"/>
      <c r="AD35" s="120"/>
      <c r="AE35" s="120"/>
      <c r="AF35" s="296" t="s">
        <v>154</v>
      </c>
      <c r="AG35" s="292"/>
      <c r="AH35" s="292"/>
      <c r="AI35" s="292"/>
      <c r="AJ35" s="293"/>
      <c r="AK35" s="118">
        <v>4</v>
      </c>
      <c r="AL35" s="121">
        <f t="shared" si="11"/>
        <v>5.0999999999999996</v>
      </c>
      <c r="AM35" s="122">
        <f t="shared" si="12"/>
        <v>-0.15000000000000005</v>
      </c>
    </row>
    <row r="36" spans="1:39" ht="80.25" customHeight="1">
      <c r="A36" s="288"/>
      <c r="B36" s="289"/>
      <c r="C36" s="289"/>
      <c r="D36" s="290"/>
      <c r="E36" s="296" t="s">
        <v>90</v>
      </c>
      <c r="F36" s="293"/>
      <c r="G36" s="118">
        <v>2</v>
      </c>
      <c r="H36" s="118"/>
      <c r="I36" s="118"/>
      <c r="J36" s="119">
        <f t="shared" si="6"/>
        <v>0</v>
      </c>
      <c r="K36" s="118"/>
      <c r="L36" s="118">
        <v>1</v>
      </c>
      <c r="M36" s="118"/>
      <c r="N36" s="119"/>
      <c r="O36" s="118"/>
      <c r="P36" s="118"/>
      <c r="Q36" s="118">
        <v>1</v>
      </c>
      <c r="R36" s="119"/>
      <c r="S36" s="118"/>
      <c r="T36" s="118"/>
      <c r="U36" s="118"/>
      <c r="V36" s="119"/>
      <c r="W36" s="118"/>
      <c r="X36" s="118"/>
      <c r="Y36" s="118"/>
      <c r="Z36" s="119"/>
      <c r="AA36" s="119">
        <f t="shared" si="10"/>
        <v>2</v>
      </c>
      <c r="AB36" s="120"/>
      <c r="AC36" s="120"/>
      <c r="AD36" s="120"/>
      <c r="AE36" s="120"/>
      <c r="AF36" s="296" t="s">
        <v>157</v>
      </c>
      <c r="AG36" s="292"/>
      <c r="AH36" s="292"/>
      <c r="AI36" s="292"/>
      <c r="AJ36" s="293"/>
      <c r="AK36" s="118">
        <v>4</v>
      </c>
      <c r="AL36" s="121">
        <f t="shared" si="11"/>
        <v>1.7</v>
      </c>
      <c r="AM36" s="122">
        <f t="shared" si="12"/>
        <v>-0.15000000000000002</v>
      </c>
    </row>
    <row r="37" spans="1:39" ht="80.25" customHeight="1">
      <c r="A37" s="297" t="s">
        <v>92</v>
      </c>
      <c r="B37" s="298"/>
      <c r="C37" s="298"/>
      <c r="D37" s="299"/>
      <c r="E37" s="296" t="s">
        <v>86</v>
      </c>
      <c r="F37" s="293"/>
      <c r="G37" s="118">
        <v>1</v>
      </c>
      <c r="H37" s="118"/>
      <c r="I37" s="118"/>
      <c r="J37" s="119">
        <f t="shared" ref="J37:J39" si="13">G37*H37*I37*5</f>
        <v>0</v>
      </c>
      <c r="K37" s="118"/>
      <c r="L37" s="118">
        <v>2</v>
      </c>
      <c r="M37" s="118"/>
      <c r="N37" s="119"/>
      <c r="O37" s="118"/>
      <c r="P37" s="118"/>
      <c r="Q37" s="118">
        <v>1</v>
      </c>
      <c r="R37" s="123"/>
      <c r="S37" s="123"/>
      <c r="T37" s="123"/>
      <c r="U37" s="123"/>
      <c r="V37" s="123"/>
      <c r="W37" s="123"/>
      <c r="X37" s="123"/>
      <c r="Y37" s="123"/>
      <c r="Z37" s="123"/>
      <c r="AA37" s="124">
        <f t="shared" si="7"/>
        <v>2</v>
      </c>
      <c r="AB37" s="125"/>
      <c r="AC37" s="125"/>
      <c r="AD37" s="125"/>
      <c r="AE37" s="125"/>
      <c r="AF37" s="296" t="s">
        <v>156</v>
      </c>
      <c r="AG37" s="292"/>
      <c r="AH37" s="292"/>
      <c r="AI37" s="292"/>
      <c r="AJ37" s="293"/>
      <c r="AK37" s="118">
        <v>4</v>
      </c>
      <c r="AL37" s="121">
        <f t="shared" si="8"/>
        <v>1.7</v>
      </c>
      <c r="AM37" s="122">
        <f t="shared" si="9"/>
        <v>-0.15000000000000002</v>
      </c>
    </row>
    <row r="38" spans="1:39" ht="80.25" customHeight="1">
      <c r="A38" s="288"/>
      <c r="B38" s="289"/>
      <c r="C38" s="289"/>
      <c r="D38" s="290"/>
      <c r="E38" s="296" t="s">
        <v>87</v>
      </c>
      <c r="F38" s="293"/>
      <c r="G38" s="118">
        <v>2</v>
      </c>
      <c r="H38" s="118"/>
      <c r="I38" s="118"/>
      <c r="J38" s="119">
        <f t="shared" si="13"/>
        <v>0</v>
      </c>
      <c r="K38" s="118"/>
      <c r="L38" s="118">
        <v>3</v>
      </c>
      <c r="M38" s="118"/>
      <c r="N38" s="119"/>
      <c r="O38" s="118"/>
      <c r="P38" s="118"/>
      <c r="Q38" s="118">
        <v>1</v>
      </c>
      <c r="R38" s="119"/>
      <c r="S38" s="118"/>
      <c r="T38" s="118"/>
      <c r="U38" s="118"/>
      <c r="V38" s="119"/>
      <c r="W38" s="118"/>
      <c r="X38" s="118"/>
      <c r="Y38" s="118"/>
      <c r="Z38" s="119"/>
      <c r="AA38" s="119">
        <f t="shared" ref="AA38:AA39" si="14">G38*L38*Q38</f>
        <v>6</v>
      </c>
      <c r="AB38" s="120"/>
      <c r="AC38" s="120"/>
      <c r="AD38" s="120"/>
      <c r="AE38" s="120"/>
      <c r="AF38" s="296" t="s">
        <v>155</v>
      </c>
      <c r="AG38" s="292"/>
      <c r="AH38" s="292"/>
      <c r="AI38" s="292"/>
      <c r="AJ38" s="293"/>
      <c r="AK38" s="118">
        <v>4</v>
      </c>
      <c r="AL38" s="121">
        <f t="shared" ref="AL38:AL39" si="15">IF(AK38=5,(AA38*1),IF(AK38=4,(AA38*0.85),IF(AK38=3,(AA38*0.15),IF(AK38=2,(AA38*0.05),IF(AK38=1,(AA38*-0.0000000000000001),(AA38*1))))))</f>
        <v>5.0999999999999996</v>
      </c>
      <c r="AM38" s="122">
        <f t="shared" ref="AM38:AM39" si="16">IF(AA38=0,0,(AL38-AA38)/AA38)</f>
        <v>-0.15000000000000005</v>
      </c>
    </row>
    <row r="39" spans="1:39" ht="80.25" customHeight="1">
      <c r="A39" s="288"/>
      <c r="B39" s="289"/>
      <c r="C39" s="289"/>
      <c r="D39" s="290"/>
      <c r="E39" s="296" t="s">
        <v>88</v>
      </c>
      <c r="F39" s="293"/>
      <c r="G39" s="118">
        <v>2</v>
      </c>
      <c r="H39" s="118"/>
      <c r="I39" s="118"/>
      <c r="J39" s="119">
        <f t="shared" si="13"/>
        <v>0</v>
      </c>
      <c r="K39" s="118"/>
      <c r="L39" s="118">
        <v>1</v>
      </c>
      <c r="M39" s="118"/>
      <c r="N39" s="119"/>
      <c r="O39" s="118"/>
      <c r="P39" s="118"/>
      <c r="Q39" s="118">
        <v>1</v>
      </c>
      <c r="R39" s="119"/>
      <c r="S39" s="118"/>
      <c r="T39" s="118"/>
      <c r="U39" s="118"/>
      <c r="V39" s="119"/>
      <c r="W39" s="118"/>
      <c r="X39" s="118"/>
      <c r="Y39" s="118"/>
      <c r="Z39" s="119"/>
      <c r="AA39" s="119">
        <f t="shared" si="14"/>
        <v>2</v>
      </c>
      <c r="AB39" s="120"/>
      <c r="AC39" s="120"/>
      <c r="AD39" s="120"/>
      <c r="AE39" s="120"/>
      <c r="AF39" s="296" t="s">
        <v>163</v>
      </c>
      <c r="AG39" s="292"/>
      <c r="AH39" s="292"/>
      <c r="AI39" s="292"/>
      <c r="AJ39" s="293"/>
      <c r="AK39" s="118">
        <v>4</v>
      </c>
      <c r="AL39" s="121">
        <f t="shared" si="15"/>
        <v>1.7</v>
      </c>
      <c r="AM39" s="122">
        <f t="shared" si="16"/>
        <v>-0.15000000000000002</v>
      </c>
    </row>
    <row r="40" spans="1:39" ht="99.75" customHeight="1">
      <c r="A40" s="297" t="s">
        <v>93</v>
      </c>
      <c r="B40" s="298"/>
      <c r="C40" s="298"/>
      <c r="D40" s="299"/>
      <c r="E40" s="296" t="s">
        <v>86</v>
      </c>
      <c r="F40" s="293"/>
      <c r="G40" s="118">
        <v>4</v>
      </c>
      <c r="H40" s="118"/>
      <c r="I40" s="118"/>
      <c r="J40" s="119">
        <f t="shared" ref="J40:J43" si="17">G40*H40*I40*5</f>
        <v>0</v>
      </c>
      <c r="K40" s="118"/>
      <c r="L40" s="118">
        <v>2</v>
      </c>
      <c r="M40" s="118"/>
      <c r="N40" s="119"/>
      <c r="O40" s="118"/>
      <c r="P40" s="118"/>
      <c r="Q40" s="118">
        <v>1</v>
      </c>
      <c r="R40" s="123"/>
      <c r="S40" s="123"/>
      <c r="T40" s="123"/>
      <c r="U40" s="123"/>
      <c r="V40" s="123"/>
      <c r="W40" s="123"/>
      <c r="X40" s="123"/>
      <c r="Y40" s="123"/>
      <c r="Z40" s="123"/>
      <c r="AA40" s="124">
        <f t="shared" si="7"/>
        <v>8</v>
      </c>
      <c r="AB40" s="125"/>
      <c r="AC40" s="125"/>
      <c r="AD40" s="125"/>
      <c r="AE40" s="125"/>
      <c r="AF40" s="296" t="s">
        <v>156</v>
      </c>
      <c r="AG40" s="292"/>
      <c r="AH40" s="292"/>
      <c r="AI40" s="292"/>
      <c r="AJ40" s="293"/>
      <c r="AK40" s="118">
        <v>4</v>
      </c>
      <c r="AL40" s="121">
        <f t="shared" si="8"/>
        <v>6.8</v>
      </c>
      <c r="AM40" s="122">
        <f t="shared" si="9"/>
        <v>-0.15000000000000002</v>
      </c>
    </row>
    <row r="41" spans="1:39" ht="99.75" customHeight="1">
      <c r="A41" s="288"/>
      <c r="B41" s="289"/>
      <c r="C41" s="289"/>
      <c r="D41" s="290"/>
      <c r="E41" s="296" t="s">
        <v>94</v>
      </c>
      <c r="F41" s="293"/>
      <c r="G41" s="118">
        <v>4</v>
      </c>
      <c r="H41" s="118"/>
      <c r="I41" s="118"/>
      <c r="J41" s="119">
        <f t="shared" si="17"/>
        <v>0</v>
      </c>
      <c r="K41" s="118"/>
      <c r="L41" s="118">
        <v>5</v>
      </c>
      <c r="M41" s="118"/>
      <c r="N41" s="119"/>
      <c r="O41" s="118"/>
      <c r="P41" s="118"/>
      <c r="Q41" s="118">
        <v>3</v>
      </c>
      <c r="R41" s="119"/>
      <c r="S41" s="118"/>
      <c r="T41" s="118"/>
      <c r="U41" s="118"/>
      <c r="V41" s="119"/>
      <c r="W41" s="118"/>
      <c r="X41" s="118"/>
      <c r="Y41" s="118"/>
      <c r="Z41" s="119"/>
      <c r="AA41" s="119">
        <f t="shared" ref="AA41:AA43" si="18">G41*L41*Q41</f>
        <v>60</v>
      </c>
      <c r="AB41" s="120"/>
      <c r="AC41" s="120"/>
      <c r="AD41" s="120"/>
      <c r="AE41" s="120"/>
      <c r="AF41" s="296" t="s">
        <v>158</v>
      </c>
      <c r="AG41" s="292"/>
      <c r="AH41" s="292"/>
      <c r="AI41" s="292"/>
      <c r="AJ41" s="293"/>
      <c r="AK41" s="118">
        <v>4</v>
      </c>
      <c r="AL41" s="121">
        <f t="shared" ref="AL41:AL43" si="19">IF(AK41=5,(AA41*1),IF(AK41=4,(AA41*0.85),IF(AK41=3,(AA41*0.15),IF(AK41=2,(AA41*0.05),IF(AK41=1,(AA41*-0.0000000000000001),(AA41*1))))))</f>
        <v>51</v>
      </c>
      <c r="AM41" s="122">
        <f t="shared" ref="AM41:AM43" si="20">IF(AA41=0,0,(AL41-AA41)/AA41)</f>
        <v>-0.15</v>
      </c>
    </row>
    <row r="42" spans="1:39" ht="99.75" customHeight="1">
      <c r="A42" s="288"/>
      <c r="B42" s="289"/>
      <c r="C42" s="289"/>
      <c r="D42" s="290"/>
      <c r="E42" s="296" t="s">
        <v>140</v>
      </c>
      <c r="F42" s="293"/>
      <c r="G42" s="118">
        <v>4</v>
      </c>
      <c r="H42" s="118"/>
      <c r="I42" s="118"/>
      <c r="J42" s="119">
        <f t="shared" si="17"/>
        <v>0</v>
      </c>
      <c r="K42" s="118"/>
      <c r="L42" s="118">
        <v>2</v>
      </c>
      <c r="M42" s="118"/>
      <c r="N42" s="119"/>
      <c r="O42" s="118"/>
      <c r="P42" s="118"/>
      <c r="Q42" s="118">
        <v>2</v>
      </c>
      <c r="R42" s="119"/>
      <c r="S42" s="118"/>
      <c r="T42" s="118"/>
      <c r="U42" s="118"/>
      <c r="V42" s="119"/>
      <c r="W42" s="118"/>
      <c r="X42" s="118"/>
      <c r="Y42" s="118"/>
      <c r="Z42" s="119"/>
      <c r="AA42" s="119">
        <f t="shared" si="18"/>
        <v>16</v>
      </c>
      <c r="AB42" s="120"/>
      <c r="AC42" s="120"/>
      <c r="AD42" s="120"/>
      <c r="AE42" s="120"/>
      <c r="AF42" s="296" t="s">
        <v>154</v>
      </c>
      <c r="AG42" s="292"/>
      <c r="AH42" s="292"/>
      <c r="AI42" s="292"/>
      <c r="AJ42" s="293"/>
      <c r="AK42" s="118">
        <v>4</v>
      </c>
      <c r="AL42" s="121">
        <f t="shared" si="19"/>
        <v>13.6</v>
      </c>
      <c r="AM42" s="122">
        <f t="shared" si="20"/>
        <v>-0.15000000000000002</v>
      </c>
    </row>
    <row r="43" spans="1:39" ht="99.75" customHeight="1">
      <c r="A43" s="288"/>
      <c r="B43" s="289"/>
      <c r="C43" s="289"/>
      <c r="D43" s="290"/>
      <c r="E43" s="296" t="s">
        <v>89</v>
      </c>
      <c r="F43" s="293"/>
      <c r="G43" s="118">
        <v>4</v>
      </c>
      <c r="H43" s="118"/>
      <c r="I43" s="118"/>
      <c r="J43" s="119">
        <f t="shared" si="17"/>
        <v>0</v>
      </c>
      <c r="K43" s="118"/>
      <c r="L43" s="118">
        <v>2</v>
      </c>
      <c r="M43" s="118"/>
      <c r="N43" s="119"/>
      <c r="O43" s="118"/>
      <c r="P43" s="118"/>
      <c r="Q43" s="118">
        <v>2</v>
      </c>
      <c r="R43" s="119"/>
      <c r="S43" s="118"/>
      <c r="T43" s="118"/>
      <c r="U43" s="118"/>
      <c r="V43" s="119"/>
      <c r="W43" s="118"/>
      <c r="X43" s="118"/>
      <c r="Y43" s="118"/>
      <c r="Z43" s="119"/>
      <c r="AA43" s="119">
        <f t="shared" si="18"/>
        <v>16</v>
      </c>
      <c r="AB43" s="120"/>
      <c r="AC43" s="120"/>
      <c r="AD43" s="120"/>
      <c r="AE43" s="120"/>
      <c r="AF43" s="296" t="s">
        <v>159</v>
      </c>
      <c r="AG43" s="292"/>
      <c r="AH43" s="292"/>
      <c r="AI43" s="292"/>
      <c r="AJ43" s="293"/>
      <c r="AK43" s="118">
        <v>4</v>
      </c>
      <c r="AL43" s="121">
        <f t="shared" si="19"/>
        <v>13.6</v>
      </c>
      <c r="AM43" s="122">
        <f t="shared" si="20"/>
        <v>-0.15000000000000002</v>
      </c>
    </row>
    <row r="44" spans="1:39" ht="99.75" customHeight="1">
      <c r="A44" s="297" t="s">
        <v>95</v>
      </c>
      <c r="B44" s="298"/>
      <c r="C44" s="298"/>
      <c r="D44" s="299"/>
      <c r="E44" s="296" t="s">
        <v>86</v>
      </c>
      <c r="F44" s="293"/>
      <c r="G44" s="118">
        <v>4</v>
      </c>
      <c r="H44" s="118"/>
      <c r="I44" s="118"/>
      <c r="J44" s="119">
        <f t="shared" ref="J44:J48" si="21">G44*H44*I44*5</f>
        <v>0</v>
      </c>
      <c r="K44" s="118"/>
      <c r="L44" s="118">
        <v>2</v>
      </c>
      <c r="M44" s="118"/>
      <c r="N44" s="119"/>
      <c r="O44" s="118"/>
      <c r="P44" s="118"/>
      <c r="Q44" s="118">
        <v>1</v>
      </c>
      <c r="R44" s="123"/>
      <c r="S44" s="123"/>
      <c r="T44" s="123"/>
      <c r="U44" s="123"/>
      <c r="V44" s="123"/>
      <c r="W44" s="123"/>
      <c r="X44" s="123"/>
      <c r="Y44" s="123"/>
      <c r="Z44" s="123"/>
      <c r="AA44" s="124">
        <f t="shared" si="7"/>
        <v>8</v>
      </c>
      <c r="AB44" s="125"/>
      <c r="AC44" s="125"/>
      <c r="AD44" s="125"/>
      <c r="AE44" s="125"/>
      <c r="AF44" s="296" t="s">
        <v>156</v>
      </c>
      <c r="AG44" s="292"/>
      <c r="AH44" s="292"/>
      <c r="AI44" s="292"/>
      <c r="AJ44" s="293"/>
      <c r="AK44" s="118">
        <v>4</v>
      </c>
      <c r="AL44" s="121">
        <f t="shared" si="8"/>
        <v>6.8</v>
      </c>
      <c r="AM44" s="122">
        <f t="shared" si="9"/>
        <v>-0.15000000000000002</v>
      </c>
    </row>
    <row r="45" spans="1:39" ht="99.75" customHeight="1">
      <c r="A45" s="288"/>
      <c r="B45" s="289"/>
      <c r="C45" s="289"/>
      <c r="D45" s="290"/>
      <c r="E45" s="296" t="s">
        <v>94</v>
      </c>
      <c r="F45" s="293"/>
      <c r="G45" s="118">
        <v>4</v>
      </c>
      <c r="H45" s="118"/>
      <c r="I45" s="118"/>
      <c r="J45" s="119">
        <f t="shared" si="21"/>
        <v>0</v>
      </c>
      <c r="K45" s="118"/>
      <c r="L45" s="118">
        <v>5</v>
      </c>
      <c r="M45" s="118"/>
      <c r="N45" s="119"/>
      <c r="O45" s="118"/>
      <c r="P45" s="118"/>
      <c r="Q45" s="118">
        <v>3</v>
      </c>
      <c r="R45" s="119"/>
      <c r="S45" s="118"/>
      <c r="T45" s="118"/>
      <c r="U45" s="118"/>
      <c r="V45" s="119"/>
      <c r="W45" s="118"/>
      <c r="X45" s="118"/>
      <c r="Y45" s="118"/>
      <c r="Z45" s="119"/>
      <c r="AA45" s="119">
        <f t="shared" ref="AA45:AA49" si="22">G45*L45*Q45</f>
        <v>60</v>
      </c>
      <c r="AB45" s="120"/>
      <c r="AC45" s="120"/>
      <c r="AD45" s="120"/>
      <c r="AE45" s="120"/>
      <c r="AF45" s="296" t="s">
        <v>158</v>
      </c>
      <c r="AG45" s="292"/>
      <c r="AH45" s="292"/>
      <c r="AI45" s="292"/>
      <c r="AJ45" s="293"/>
      <c r="AK45" s="118">
        <v>4</v>
      </c>
      <c r="AL45" s="121">
        <f t="shared" ref="AL45:AL49" si="23">IF(AK45=5,(AA45*1),IF(AK45=4,(AA45*0.85),IF(AK45=3,(AA45*0.15),IF(AK45=2,(AA45*0.05),IF(AK45=1,(AA45*-0.0000000000000001),(AA45*1))))))</f>
        <v>51</v>
      </c>
      <c r="AM45" s="122">
        <f t="shared" ref="AM45:AM49" si="24">IF(AA45=0,0,(AL45-AA45)/AA45)</f>
        <v>-0.15</v>
      </c>
    </row>
    <row r="46" spans="1:39" ht="99.75" customHeight="1">
      <c r="A46" s="288"/>
      <c r="B46" s="289"/>
      <c r="C46" s="289"/>
      <c r="D46" s="290"/>
      <c r="E46" s="296" t="s">
        <v>140</v>
      </c>
      <c r="F46" s="293"/>
      <c r="G46" s="118">
        <v>4</v>
      </c>
      <c r="H46" s="118"/>
      <c r="I46" s="118"/>
      <c r="J46" s="119">
        <f t="shared" si="21"/>
        <v>0</v>
      </c>
      <c r="K46" s="118"/>
      <c r="L46" s="118">
        <v>2</v>
      </c>
      <c r="M46" s="118"/>
      <c r="N46" s="119"/>
      <c r="O46" s="118"/>
      <c r="P46" s="118"/>
      <c r="Q46" s="118">
        <v>2</v>
      </c>
      <c r="R46" s="119"/>
      <c r="S46" s="118"/>
      <c r="T46" s="118"/>
      <c r="U46" s="118"/>
      <c r="V46" s="119"/>
      <c r="W46" s="118"/>
      <c r="X46" s="118"/>
      <c r="Y46" s="118"/>
      <c r="Z46" s="119"/>
      <c r="AA46" s="119">
        <f t="shared" si="22"/>
        <v>16</v>
      </c>
      <c r="AB46" s="120"/>
      <c r="AC46" s="120"/>
      <c r="AD46" s="120"/>
      <c r="AE46" s="120"/>
      <c r="AF46" s="296" t="s">
        <v>154</v>
      </c>
      <c r="AG46" s="292"/>
      <c r="AH46" s="292"/>
      <c r="AI46" s="292"/>
      <c r="AJ46" s="293"/>
      <c r="AK46" s="118">
        <v>4</v>
      </c>
      <c r="AL46" s="121">
        <f t="shared" si="23"/>
        <v>13.6</v>
      </c>
      <c r="AM46" s="122">
        <f t="shared" si="24"/>
        <v>-0.15000000000000002</v>
      </c>
    </row>
    <row r="47" spans="1:39" ht="99.75" customHeight="1">
      <c r="A47" s="288"/>
      <c r="B47" s="289"/>
      <c r="C47" s="289"/>
      <c r="D47" s="290"/>
      <c r="E47" s="296" t="s">
        <v>96</v>
      </c>
      <c r="F47" s="293"/>
      <c r="G47" s="118">
        <v>4</v>
      </c>
      <c r="H47" s="118"/>
      <c r="I47" s="118"/>
      <c r="J47" s="119">
        <f t="shared" si="21"/>
        <v>0</v>
      </c>
      <c r="K47" s="118"/>
      <c r="L47" s="118">
        <v>5</v>
      </c>
      <c r="M47" s="118"/>
      <c r="N47" s="119"/>
      <c r="O47" s="118"/>
      <c r="P47" s="118"/>
      <c r="Q47" s="118">
        <v>1</v>
      </c>
      <c r="R47" s="119"/>
      <c r="S47" s="118"/>
      <c r="T47" s="118"/>
      <c r="U47" s="118"/>
      <c r="V47" s="119"/>
      <c r="W47" s="118"/>
      <c r="X47" s="118"/>
      <c r="Y47" s="118"/>
      <c r="Z47" s="119"/>
      <c r="AA47" s="119">
        <f t="shared" si="22"/>
        <v>20</v>
      </c>
      <c r="AB47" s="120"/>
      <c r="AC47" s="120"/>
      <c r="AD47" s="120"/>
      <c r="AE47" s="120"/>
      <c r="AF47" s="301" t="s">
        <v>160</v>
      </c>
      <c r="AG47" s="302"/>
      <c r="AH47" s="302"/>
      <c r="AI47" s="302"/>
      <c r="AJ47" s="303"/>
      <c r="AK47" s="118">
        <v>4</v>
      </c>
      <c r="AL47" s="121">
        <f t="shared" si="23"/>
        <v>17</v>
      </c>
      <c r="AM47" s="122">
        <f t="shared" si="24"/>
        <v>-0.15</v>
      </c>
    </row>
    <row r="48" spans="1:39" ht="99.75" customHeight="1">
      <c r="A48" s="288"/>
      <c r="B48" s="289"/>
      <c r="C48" s="289"/>
      <c r="D48" s="290"/>
      <c r="E48" s="301" t="s">
        <v>97</v>
      </c>
      <c r="F48" s="303"/>
      <c r="G48" s="118">
        <v>4</v>
      </c>
      <c r="H48" s="118"/>
      <c r="I48" s="118"/>
      <c r="J48" s="119">
        <f t="shared" si="21"/>
        <v>0</v>
      </c>
      <c r="K48" s="118"/>
      <c r="L48" s="118">
        <v>5</v>
      </c>
      <c r="M48" s="118"/>
      <c r="N48" s="119"/>
      <c r="O48" s="118"/>
      <c r="P48" s="118"/>
      <c r="Q48" s="118">
        <v>1</v>
      </c>
      <c r="R48" s="119"/>
      <c r="S48" s="118"/>
      <c r="T48" s="118"/>
      <c r="U48" s="118"/>
      <c r="V48" s="119"/>
      <c r="W48" s="118"/>
      <c r="X48" s="118"/>
      <c r="Y48" s="118"/>
      <c r="Z48" s="119"/>
      <c r="AA48" s="119">
        <f t="shared" si="22"/>
        <v>20</v>
      </c>
      <c r="AB48" s="120"/>
      <c r="AC48" s="120"/>
      <c r="AD48" s="120"/>
      <c r="AE48" s="120"/>
      <c r="AF48" s="296" t="s">
        <v>161</v>
      </c>
      <c r="AG48" s="292"/>
      <c r="AH48" s="292"/>
      <c r="AI48" s="292"/>
      <c r="AJ48" s="293"/>
      <c r="AK48" s="118">
        <v>4</v>
      </c>
      <c r="AL48" s="121">
        <f t="shared" si="23"/>
        <v>17</v>
      </c>
      <c r="AM48" s="122">
        <f t="shared" si="24"/>
        <v>-0.15</v>
      </c>
    </row>
    <row r="49" spans="1:39" ht="99.75" customHeight="1">
      <c r="A49" s="288"/>
      <c r="B49" s="289"/>
      <c r="C49" s="289"/>
      <c r="D49" s="290"/>
      <c r="E49" s="330" t="s">
        <v>90</v>
      </c>
      <c r="F49" s="290"/>
      <c r="G49" s="118">
        <v>4</v>
      </c>
      <c r="H49" s="118"/>
      <c r="I49" s="118"/>
      <c r="J49" s="119">
        <f t="shared" ref="J49:J54" si="25">G49*H49*I49*5</f>
        <v>0</v>
      </c>
      <c r="K49" s="118"/>
      <c r="L49" s="118">
        <v>2</v>
      </c>
      <c r="M49" s="118"/>
      <c r="N49" s="119"/>
      <c r="O49" s="118"/>
      <c r="P49" s="118"/>
      <c r="Q49" s="118">
        <v>2</v>
      </c>
      <c r="R49" s="119"/>
      <c r="S49" s="118"/>
      <c r="T49" s="118"/>
      <c r="U49" s="118"/>
      <c r="V49" s="119"/>
      <c r="W49" s="118"/>
      <c r="X49" s="118"/>
      <c r="Y49" s="118"/>
      <c r="Z49" s="119"/>
      <c r="AA49" s="119">
        <f t="shared" si="22"/>
        <v>16</v>
      </c>
      <c r="AB49" s="120"/>
      <c r="AC49" s="120"/>
      <c r="AD49" s="120"/>
      <c r="AE49" s="120"/>
      <c r="AF49" s="296" t="s">
        <v>157</v>
      </c>
      <c r="AG49" s="292"/>
      <c r="AH49" s="292"/>
      <c r="AI49" s="292"/>
      <c r="AJ49" s="293"/>
      <c r="AK49" s="118">
        <v>4</v>
      </c>
      <c r="AL49" s="121">
        <f t="shared" si="23"/>
        <v>13.6</v>
      </c>
      <c r="AM49" s="122">
        <f t="shared" si="24"/>
        <v>-0.15000000000000002</v>
      </c>
    </row>
    <row r="50" spans="1:39" ht="99.75" customHeight="1">
      <c r="A50" s="300" t="s">
        <v>98</v>
      </c>
      <c r="B50" s="300"/>
      <c r="C50" s="300"/>
      <c r="D50" s="300"/>
      <c r="E50" s="300" t="s">
        <v>86</v>
      </c>
      <c r="F50" s="300"/>
      <c r="G50" s="118">
        <v>4</v>
      </c>
      <c r="H50" s="118"/>
      <c r="I50" s="118"/>
      <c r="J50" s="119">
        <f t="shared" si="25"/>
        <v>0</v>
      </c>
      <c r="K50" s="118"/>
      <c r="L50" s="118">
        <v>2</v>
      </c>
      <c r="M50" s="118"/>
      <c r="N50" s="119"/>
      <c r="O50" s="118"/>
      <c r="P50" s="118"/>
      <c r="Q50" s="118">
        <v>1</v>
      </c>
      <c r="R50" s="123"/>
      <c r="S50" s="123"/>
      <c r="T50" s="123"/>
      <c r="U50" s="123"/>
      <c r="V50" s="123"/>
      <c r="W50" s="123"/>
      <c r="X50" s="123"/>
      <c r="Y50" s="123"/>
      <c r="Z50" s="123"/>
      <c r="AA50" s="124">
        <f t="shared" si="7"/>
        <v>8</v>
      </c>
      <c r="AB50" s="125"/>
      <c r="AC50" s="125"/>
      <c r="AD50" s="125"/>
      <c r="AE50" s="125"/>
      <c r="AF50" s="296" t="s">
        <v>156</v>
      </c>
      <c r="AG50" s="292"/>
      <c r="AH50" s="292"/>
      <c r="AI50" s="292"/>
      <c r="AJ50" s="293"/>
      <c r="AK50" s="118">
        <v>4</v>
      </c>
      <c r="AL50" s="121">
        <f t="shared" si="8"/>
        <v>6.8</v>
      </c>
      <c r="AM50" s="122">
        <f t="shared" si="9"/>
        <v>-0.15000000000000002</v>
      </c>
    </row>
    <row r="51" spans="1:39" ht="99.75" customHeight="1">
      <c r="A51" s="300"/>
      <c r="B51" s="300"/>
      <c r="C51" s="300"/>
      <c r="D51" s="300"/>
      <c r="E51" s="300" t="s">
        <v>94</v>
      </c>
      <c r="F51" s="300"/>
      <c r="G51" s="118">
        <v>4</v>
      </c>
      <c r="H51" s="118"/>
      <c r="I51" s="118"/>
      <c r="J51" s="119">
        <f t="shared" si="25"/>
        <v>0</v>
      </c>
      <c r="K51" s="118"/>
      <c r="L51" s="118">
        <v>5</v>
      </c>
      <c r="M51" s="118"/>
      <c r="N51" s="119"/>
      <c r="O51" s="118"/>
      <c r="P51" s="118"/>
      <c r="Q51" s="118">
        <v>3</v>
      </c>
      <c r="R51" s="119"/>
      <c r="S51" s="118"/>
      <c r="T51" s="118"/>
      <c r="U51" s="118"/>
      <c r="V51" s="119"/>
      <c r="W51" s="118"/>
      <c r="X51" s="118"/>
      <c r="Y51" s="118"/>
      <c r="Z51" s="119"/>
      <c r="AA51" s="119">
        <f t="shared" ref="AA51:AA55" si="26">G51*L51*Q51</f>
        <v>60</v>
      </c>
      <c r="AB51" s="120"/>
      <c r="AC51" s="120"/>
      <c r="AD51" s="120"/>
      <c r="AE51" s="120"/>
      <c r="AF51" s="296" t="s">
        <v>158</v>
      </c>
      <c r="AG51" s="292"/>
      <c r="AH51" s="292"/>
      <c r="AI51" s="292"/>
      <c r="AJ51" s="293"/>
      <c r="AK51" s="118">
        <v>4</v>
      </c>
      <c r="AL51" s="121">
        <f t="shared" ref="AL51:AL55" si="27">IF(AK51=5,(AA51*1),IF(AK51=4,(AA51*0.85),IF(AK51=3,(AA51*0.15),IF(AK51=2,(AA51*0.05),IF(AK51=1,(AA51*-0.0000000000000001),(AA51*1))))))</f>
        <v>51</v>
      </c>
      <c r="AM51" s="122">
        <f t="shared" ref="AM51:AM55" si="28">IF(AA51=0,0,(AL51-AA51)/AA51)</f>
        <v>-0.15</v>
      </c>
    </row>
    <row r="52" spans="1:39" ht="99.75" customHeight="1">
      <c r="A52" s="300"/>
      <c r="B52" s="300"/>
      <c r="C52" s="300"/>
      <c r="D52" s="300"/>
      <c r="E52" s="300" t="s">
        <v>141</v>
      </c>
      <c r="F52" s="300"/>
      <c r="G52" s="118">
        <v>4</v>
      </c>
      <c r="H52" s="118"/>
      <c r="I52" s="118"/>
      <c r="J52" s="119">
        <f t="shared" si="25"/>
        <v>0</v>
      </c>
      <c r="K52" s="118"/>
      <c r="L52" s="118">
        <v>2</v>
      </c>
      <c r="M52" s="118"/>
      <c r="N52" s="119"/>
      <c r="O52" s="118"/>
      <c r="P52" s="118"/>
      <c r="Q52" s="118">
        <v>2</v>
      </c>
      <c r="R52" s="119"/>
      <c r="S52" s="118"/>
      <c r="T52" s="118"/>
      <c r="U52" s="118"/>
      <c r="V52" s="119"/>
      <c r="W52" s="118"/>
      <c r="X52" s="118"/>
      <c r="Y52" s="118"/>
      <c r="Z52" s="119"/>
      <c r="AA52" s="119">
        <f t="shared" si="26"/>
        <v>16</v>
      </c>
      <c r="AB52" s="120"/>
      <c r="AC52" s="120"/>
      <c r="AD52" s="120"/>
      <c r="AE52" s="120"/>
      <c r="AF52" s="296" t="s">
        <v>154</v>
      </c>
      <c r="AG52" s="292"/>
      <c r="AH52" s="292"/>
      <c r="AI52" s="292"/>
      <c r="AJ52" s="293"/>
      <c r="AK52" s="118">
        <v>4</v>
      </c>
      <c r="AL52" s="121">
        <f t="shared" si="27"/>
        <v>13.6</v>
      </c>
      <c r="AM52" s="122">
        <f t="shared" si="28"/>
        <v>-0.15000000000000002</v>
      </c>
    </row>
    <row r="53" spans="1:39" ht="99.75" customHeight="1">
      <c r="A53" s="300"/>
      <c r="B53" s="300"/>
      <c r="C53" s="300"/>
      <c r="D53" s="300"/>
      <c r="E53" s="300" t="s">
        <v>96</v>
      </c>
      <c r="F53" s="300"/>
      <c r="G53" s="118">
        <v>4</v>
      </c>
      <c r="H53" s="118"/>
      <c r="I53" s="118"/>
      <c r="J53" s="119">
        <f t="shared" si="25"/>
        <v>0</v>
      </c>
      <c r="K53" s="118"/>
      <c r="L53" s="118">
        <v>5</v>
      </c>
      <c r="M53" s="118"/>
      <c r="N53" s="119"/>
      <c r="O53" s="118"/>
      <c r="P53" s="118"/>
      <c r="Q53" s="118">
        <v>1</v>
      </c>
      <c r="R53" s="119"/>
      <c r="S53" s="118"/>
      <c r="T53" s="118"/>
      <c r="U53" s="118"/>
      <c r="V53" s="119"/>
      <c r="W53" s="118"/>
      <c r="X53" s="118"/>
      <c r="Y53" s="118"/>
      <c r="Z53" s="119"/>
      <c r="AA53" s="119">
        <f t="shared" si="26"/>
        <v>20</v>
      </c>
      <c r="AB53" s="120"/>
      <c r="AC53" s="120"/>
      <c r="AD53" s="120"/>
      <c r="AE53" s="120"/>
      <c r="AF53" s="301" t="s">
        <v>161</v>
      </c>
      <c r="AG53" s="302"/>
      <c r="AH53" s="302"/>
      <c r="AI53" s="302"/>
      <c r="AJ53" s="303"/>
      <c r="AK53" s="118">
        <v>4</v>
      </c>
      <c r="AL53" s="121">
        <f t="shared" si="27"/>
        <v>17</v>
      </c>
      <c r="AM53" s="122">
        <f t="shared" si="28"/>
        <v>-0.15</v>
      </c>
    </row>
    <row r="54" spans="1:39" ht="99.75" customHeight="1">
      <c r="A54" s="300"/>
      <c r="B54" s="300"/>
      <c r="C54" s="300"/>
      <c r="D54" s="300"/>
      <c r="E54" s="300" t="s">
        <v>97</v>
      </c>
      <c r="F54" s="300"/>
      <c r="G54" s="118">
        <v>4</v>
      </c>
      <c r="H54" s="118"/>
      <c r="I54" s="118"/>
      <c r="J54" s="119">
        <f t="shared" si="25"/>
        <v>0</v>
      </c>
      <c r="K54" s="118"/>
      <c r="L54" s="118">
        <v>5</v>
      </c>
      <c r="M54" s="118"/>
      <c r="N54" s="119"/>
      <c r="O54" s="118"/>
      <c r="P54" s="118"/>
      <c r="Q54" s="118">
        <v>1</v>
      </c>
      <c r="R54" s="119"/>
      <c r="S54" s="118"/>
      <c r="T54" s="118"/>
      <c r="U54" s="118"/>
      <c r="V54" s="119"/>
      <c r="W54" s="118"/>
      <c r="X54" s="118"/>
      <c r="Y54" s="118"/>
      <c r="Z54" s="119"/>
      <c r="AA54" s="119">
        <f t="shared" si="26"/>
        <v>20</v>
      </c>
      <c r="AB54" s="120"/>
      <c r="AC54" s="120"/>
      <c r="AD54" s="120"/>
      <c r="AE54" s="120"/>
      <c r="AF54" s="296" t="s">
        <v>161</v>
      </c>
      <c r="AG54" s="292"/>
      <c r="AH54" s="292"/>
      <c r="AI54" s="292"/>
      <c r="AJ54" s="293"/>
      <c r="AK54" s="118">
        <v>4</v>
      </c>
      <c r="AL54" s="121">
        <f t="shared" si="27"/>
        <v>17</v>
      </c>
      <c r="AM54" s="122">
        <f t="shared" si="28"/>
        <v>-0.15</v>
      </c>
    </row>
    <row r="55" spans="1:39" ht="99.75" customHeight="1">
      <c r="A55" s="300"/>
      <c r="B55" s="300"/>
      <c r="C55" s="300"/>
      <c r="D55" s="300"/>
      <c r="E55" s="300" t="s">
        <v>90</v>
      </c>
      <c r="F55" s="300"/>
      <c r="G55" s="118">
        <v>4</v>
      </c>
      <c r="H55" s="118"/>
      <c r="I55" s="118"/>
      <c r="J55" s="119">
        <f t="shared" ref="J55:J61" si="29">G55*H55*I55*5</f>
        <v>0</v>
      </c>
      <c r="K55" s="118"/>
      <c r="L55" s="118">
        <v>2</v>
      </c>
      <c r="M55" s="118"/>
      <c r="N55" s="119"/>
      <c r="O55" s="118"/>
      <c r="P55" s="118"/>
      <c r="Q55" s="118">
        <v>2</v>
      </c>
      <c r="R55" s="119"/>
      <c r="S55" s="118"/>
      <c r="T55" s="118"/>
      <c r="U55" s="118"/>
      <c r="V55" s="119"/>
      <c r="W55" s="118"/>
      <c r="X55" s="118"/>
      <c r="Y55" s="118"/>
      <c r="Z55" s="119"/>
      <c r="AA55" s="119">
        <f t="shared" si="26"/>
        <v>16</v>
      </c>
      <c r="AB55" s="120"/>
      <c r="AC55" s="120"/>
      <c r="AD55" s="120"/>
      <c r="AE55" s="120"/>
      <c r="AF55" s="296" t="s">
        <v>157</v>
      </c>
      <c r="AG55" s="292"/>
      <c r="AH55" s="292"/>
      <c r="AI55" s="292"/>
      <c r="AJ55" s="293"/>
      <c r="AK55" s="118">
        <v>4</v>
      </c>
      <c r="AL55" s="121">
        <f t="shared" si="27"/>
        <v>13.6</v>
      </c>
      <c r="AM55" s="122">
        <f t="shared" si="28"/>
        <v>-0.15000000000000002</v>
      </c>
    </row>
    <row r="56" spans="1:39" ht="119.25" customHeight="1">
      <c r="A56" s="300" t="s">
        <v>142</v>
      </c>
      <c r="B56" s="300"/>
      <c r="C56" s="300"/>
      <c r="D56" s="300"/>
      <c r="E56" s="300" t="s">
        <v>86</v>
      </c>
      <c r="F56" s="300"/>
      <c r="G56" s="118">
        <v>4</v>
      </c>
      <c r="H56" s="118"/>
      <c r="I56" s="118"/>
      <c r="J56" s="119">
        <f t="shared" si="29"/>
        <v>0</v>
      </c>
      <c r="K56" s="118"/>
      <c r="L56" s="118">
        <v>2</v>
      </c>
      <c r="M56" s="118"/>
      <c r="N56" s="119"/>
      <c r="O56" s="118"/>
      <c r="P56" s="118"/>
      <c r="Q56" s="118">
        <v>1</v>
      </c>
      <c r="R56" s="123"/>
      <c r="S56" s="123"/>
      <c r="T56" s="123"/>
      <c r="U56" s="123"/>
      <c r="V56" s="123"/>
      <c r="W56" s="123"/>
      <c r="X56" s="123"/>
      <c r="Y56" s="123"/>
      <c r="Z56" s="123"/>
      <c r="AA56" s="124">
        <f t="shared" si="7"/>
        <v>8</v>
      </c>
      <c r="AB56" s="125"/>
      <c r="AC56" s="125"/>
      <c r="AD56" s="125"/>
      <c r="AE56" s="125"/>
      <c r="AF56" s="296" t="s">
        <v>156</v>
      </c>
      <c r="AG56" s="292"/>
      <c r="AH56" s="292"/>
      <c r="AI56" s="292"/>
      <c r="AJ56" s="293"/>
      <c r="AK56" s="118">
        <v>4</v>
      </c>
      <c r="AL56" s="121">
        <f t="shared" si="8"/>
        <v>6.8</v>
      </c>
      <c r="AM56" s="122">
        <f t="shared" si="9"/>
        <v>-0.15000000000000002</v>
      </c>
    </row>
    <row r="57" spans="1:39" ht="119.25" customHeight="1">
      <c r="A57" s="300"/>
      <c r="B57" s="300"/>
      <c r="C57" s="300"/>
      <c r="D57" s="300"/>
      <c r="E57" s="300" t="s">
        <v>94</v>
      </c>
      <c r="F57" s="300"/>
      <c r="G57" s="118">
        <v>4</v>
      </c>
      <c r="H57" s="118"/>
      <c r="I57" s="118"/>
      <c r="J57" s="119">
        <f t="shared" si="29"/>
        <v>0</v>
      </c>
      <c r="K57" s="118"/>
      <c r="L57" s="118">
        <v>5</v>
      </c>
      <c r="M57" s="118"/>
      <c r="N57" s="119"/>
      <c r="O57" s="118"/>
      <c r="P57" s="118"/>
      <c r="Q57" s="118">
        <v>3</v>
      </c>
      <c r="R57" s="119"/>
      <c r="S57" s="118"/>
      <c r="T57" s="118"/>
      <c r="U57" s="118"/>
      <c r="V57" s="119"/>
      <c r="W57" s="118"/>
      <c r="X57" s="118"/>
      <c r="Y57" s="118"/>
      <c r="Z57" s="119"/>
      <c r="AA57" s="119">
        <f t="shared" ref="AA57:AA61" si="30">G57*L57*Q57</f>
        <v>60</v>
      </c>
      <c r="AB57" s="120"/>
      <c r="AC57" s="120"/>
      <c r="AD57" s="120"/>
      <c r="AE57" s="120"/>
      <c r="AF57" s="296" t="s">
        <v>158</v>
      </c>
      <c r="AG57" s="292"/>
      <c r="AH57" s="292"/>
      <c r="AI57" s="292"/>
      <c r="AJ57" s="293"/>
      <c r="AK57" s="118">
        <v>4</v>
      </c>
      <c r="AL57" s="121">
        <f t="shared" ref="AL57:AL61" si="31">IF(AK57=5,(AA57*1),IF(AK57=4,(AA57*0.85),IF(AK57=3,(AA57*0.15),IF(AK57=2,(AA57*0.05),IF(AK57=1,(AA57*-0.0000000000000001),(AA57*1))))))</f>
        <v>51</v>
      </c>
      <c r="AM57" s="122">
        <f t="shared" ref="AM57:AM61" si="32">IF(AA57=0,0,(AL57-AA57)/AA57)</f>
        <v>-0.15</v>
      </c>
    </row>
    <row r="58" spans="1:39" ht="119.25" customHeight="1">
      <c r="A58" s="300"/>
      <c r="B58" s="300"/>
      <c r="C58" s="300"/>
      <c r="D58" s="300"/>
      <c r="E58" s="300" t="s">
        <v>141</v>
      </c>
      <c r="F58" s="300"/>
      <c r="G58" s="118">
        <v>4</v>
      </c>
      <c r="H58" s="118"/>
      <c r="I58" s="118"/>
      <c r="J58" s="119">
        <f t="shared" si="29"/>
        <v>0</v>
      </c>
      <c r="K58" s="118"/>
      <c r="L58" s="118">
        <v>3</v>
      </c>
      <c r="M58" s="118"/>
      <c r="N58" s="119"/>
      <c r="O58" s="118"/>
      <c r="P58" s="118"/>
      <c r="Q58" s="118">
        <v>1</v>
      </c>
      <c r="R58" s="119"/>
      <c r="S58" s="118"/>
      <c r="T58" s="118"/>
      <c r="U58" s="118"/>
      <c r="V58" s="119"/>
      <c r="W58" s="118"/>
      <c r="X58" s="118"/>
      <c r="Y58" s="118"/>
      <c r="Z58" s="119"/>
      <c r="AA58" s="119">
        <f t="shared" si="30"/>
        <v>12</v>
      </c>
      <c r="AB58" s="120"/>
      <c r="AC58" s="120"/>
      <c r="AD58" s="120"/>
      <c r="AE58" s="120"/>
      <c r="AF58" s="296" t="s">
        <v>157</v>
      </c>
      <c r="AG58" s="292"/>
      <c r="AH58" s="292"/>
      <c r="AI58" s="292"/>
      <c r="AJ58" s="293"/>
      <c r="AK58" s="118">
        <v>4</v>
      </c>
      <c r="AL58" s="121">
        <f t="shared" si="31"/>
        <v>10.199999999999999</v>
      </c>
      <c r="AM58" s="122">
        <f t="shared" si="32"/>
        <v>-0.15000000000000005</v>
      </c>
    </row>
    <row r="59" spans="1:39" ht="119.25" customHeight="1">
      <c r="A59" s="300"/>
      <c r="B59" s="300"/>
      <c r="C59" s="300"/>
      <c r="D59" s="300"/>
      <c r="E59" s="304" t="s">
        <v>96</v>
      </c>
      <c r="F59" s="305"/>
      <c r="G59" s="118">
        <v>4</v>
      </c>
      <c r="H59" s="118"/>
      <c r="I59" s="118"/>
      <c r="J59" s="119">
        <f t="shared" si="29"/>
        <v>0</v>
      </c>
      <c r="K59" s="118"/>
      <c r="L59" s="118">
        <v>5</v>
      </c>
      <c r="M59" s="118"/>
      <c r="N59" s="119"/>
      <c r="O59" s="118"/>
      <c r="P59" s="118"/>
      <c r="Q59" s="118">
        <v>1</v>
      </c>
      <c r="R59" s="119"/>
      <c r="S59" s="118"/>
      <c r="T59" s="118"/>
      <c r="U59" s="118"/>
      <c r="V59" s="119"/>
      <c r="W59" s="118"/>
      <c r="X59" s="118"/>
      <c r="Y59" s="118"/>
      <c r="Z59" s="119"/>
      <c r="AA59" s="119">
        <f t="shared" si="30"/>
        <v>20</v>
      </c>
      <c r="AB59" s="120"/>
      <c r="AC59" s="120"/>
      <c r="AD59" s="120"/>
      <c r="AE59" s="120"/>
      <c r="AF59" s="301" t="s">
        <v>160</v>
      </c>
      <c r="AG59" s="302"/>
      <c r="AH59" s="302"/>
      <c r="AI59" s="302"/>
      <c r="AJ59" s="303"/>
      <c r="AK59" s="118">
        <v>4</v>
      </c>
      <c r="AL59" s="121">
        <f t="shared" si="31"/>
        <v>17</v>
      </c>
      <c r="AM59" s="122">
        <f t="shared" si="32"/>
        <v>-0.15</v>
      </c>
    </row>
    <row r="60" spans="1:39" ht="119.25" customHeight="1">
      <c r="A60" s="300"/>
      <c r="B60" s="300"/>
      <c r="C60" s="300"/>
      <c r="D60" s="300"/>
      <c r="E60" s="300" t="s">
        <v>97</v>
      </c>
      <c r="F60" s="300"/>
      <c r="G60" s="118">
        <v>4</v>
      </c>
      <c r="H60" s="118"/>
      <c r="I60" s="118"/>
      <c r="J60" s="119">
        <f t="shared" si="29"/>
        <v>0</v>
      </c>
      <c r="K60" s="118"/>
      <c r="L60" s="118">
        <v>5</v>
      </c>
      <c r="M60" s="118"/>
      <c r="N60" s="119"/>
      <c r="O60" s="118"/>
      <c r="P60" s="118"/>
      <c r="Q60" s="118">
        <v>1</v>
      </c>
      <c r="R60" s="119"/>
      <c r="S60" s="118"/>
      <c r="T60" s="118"/>
      <c r="U60" s="118"/>
      <c r="V60" s="119"/>
      <c r="W60" s="118"/>
      <c r="X60" s="118"/>
      <c r="Y60" s="118"/>
      <c r="Z60" s="119"/>
      <c r="AA60" s="119">
        <f t="shared" si="30"/>
        <v>20</v>
      </c>
      <c r="AB60" s="120"/>
      <c r="AC60" s="120"/>
      <c r="AD60" s="120"/>
      <c r="AE60" s="120"/>
      <c r="AF60" s="296" t="s">
        <v>161</v>
      </c>
      <c r="AG60" s="292"/>
      <c r="AH60" s="292"/>
      <c r="AI60" s="292"/>
      <c r="AJ60" s="293"/>
      <c r="AK60" s="118">
        <v>4</v>
      </c>
      <c r="AL60" s="121">
        <f t="shared" si="31"/>
        <v>17</v>
      </c>
      <c r="AM60" s="122">
        <f t="shared" si="32"/>
        <v>-0.15</v>
      </c>
    </row>
    <row r="61" spans="1:39" ht="119.25" customHeight="1">
      <c r="A61" s="300"/>
      <c r="B61" s="300"/>
      <c r="C61" s="300"/>
      <c r="D61" s="300"/>
      <c r="E61" s="300" t="s">
        <v>90</v>
      </c>
      <c r="F61" s="300"/>
      <c r="G61" s="118">
        <v>4</v>
      </c>
      <c r="H61" s="118"/>
      <c r="I61" s="118"/>
      <c r="J61" s="119">
        <f t="shared" si="29"/>
        <v>0</v>
      </c>
      <c r="K61" s="118"/>
      <c r="L61" s="118">
        <v>2</v>
      </c>
      <c r="M61" s="118"/>
      <c r="N61" s="119"/>
      <c r="O61" s="118"/>
      <c r="P61" s="118"/>
      <c r="Q61" s="118">
        <v>2</v>
      </c>
      <c r="R61" s="119"/>
      <c r="S61" s="118"/>
      <c r="T61" s="118"/>
      <c r="U61" s="118"/>
      <c r="V61" s="119"/>
      <c r="W61" s="118"/>
      <c r="X61" s="118"/>
      <c r="Y61" s="118"/>
      <c r="Z61" s="119"/>
      <c r="AA61" s="119">
        <f t="shared" si="30"/>
        <v>16</v>
      </c>
      <c r="AB61" s="120"/>
      <c r="AC61" s="120"/>
      <c r="AD61" s="120"/>
      <c r="AE61" s="120"/>
      <c r="AF61" s="296" t="s">
        <v>157</v>
      </c>
      <c r="AG61" s="292"/>
      <c r="AH61" s="292"/>
      <c r="AI61" s="292"/>
      <c r="AJ61" s="293"/>
      <c r="AK61" s="118">
        <v>4</v>
      </c>
      <c r="AL61" s="121">
        <f t="shared" si="31"/>
        <v>13.6</v>
      </c>
      <c r="AM61" s="122">
        <f t="shared" si="32"/>
        <v>-0.15000000000000002</v>
      </c>
    </row>
    <row r="62" spans="1:39" ht="119.25" customHeight="1">
      <c r="A62" s="285" t="s">
        <v>99</v>
      </c>
      <c r="B62" s="286"/>
      <c r="C62" s="286"/>
      <c r="D62" s="287"/>
      <c r="E62" s="294" t="s">
        <v>86</v>
      </c>
      <c r="F62" s="295"/>
      <c r="G62" s="118">
        <v>4</v>
      </c>
      <c r="H62" s="118"/>
      <c r="I62" s="118"/>
      <c r="J62" s="119">
        <f t="shared" ref="J62:J65" si="33">G62*H62*I62*5</f>
        <v>0</v>
      </c>
      <c r="K62" s="118"/>
      <c r="L62" s="118">
        <v>2</v>
      </c>
      <c r="M62" s="118"/>
      <c r="N62" s="119"/>
      <c r="O62" s="118"/>
      <c r="P62" s="118"/>
      <c r="Q62" s="118">
        <v>1</v>
      </c>
      <c r="R62" s="123"/>
      <c r="S62" s="123"/>
      <c r="T62" s="123"/>
      <c r="U62" s="123"/>
      <c r="V62" s="123"/>
      <c r="W62" s="123"/>
      <c r="X62" s="123"/>
      <c r="Y62" s="123"/>
      <c r="Z62" s="123"/>
      <c r="AA62" s="124">
        <f t="shared" si="7"/>
        <v>8</v>
      </c>
      <c r="AB62" s="125"/>
      <c r="AC62" s="125"/>
      <c r="AD62" s="125"/>
      <c r="AE62" s="125"/>
      <c r="AF62" s="296" t="s">
        <v>156</v>
      </c>
      <c r="AG62" s="292"/>
      <c r="AH62" s="292"/>
      <c r="AI62" s="292"/>
      <c r="AJ62" s="293"/>
      <c r="AK62" s="118">
        <v>4</v>
      </c>
      <c r="AL62" s="121">
        <f t="shared" si="8"/>
        <v>6.8</v>
      </c>
      <c r="AM62" s="122">
        <f t="shared" si="9"/>
        <v>-0.15000000000000002</v>
      </c>
    </row>
    <row r="63" spans="1:39" ht="119.25" customHeight="1">
      <c r="A63" s="288"/>
      <c r="B63" s="289"/>
      <c r="C63" s="289"/>
      <c r="D63" s="290"/>
      <c r="E63" s="296" t="s">
        <v>87</v>
      </c>
      <c r="F63" s="293"/>
      <c r="G63" s="118">
        <v>4</v>
      </c>
      <c r="H63" s="118"/>
      <c r="I63" s="118"/>
      <c r="J63" s="119">
        <f t="shared" si="33"/>
        <v>0</v>
      </c>
      <c r="K63" s="118"/>
      <c r="L63" s="118">
        <v>3</v>
      </c>
      <c r="M63" s="118"/>
      <c r="N63" s="119"/>
      <c r="O63" s="118"/>
      <c r="P63" s="118"/>
      <c r="Q63" s="118">
        <v>1</v>
      </c>
      <c r="R63" s="119"/>
      <c r="S63" s="118"/>
      <c r="T63" s="118"/>
      <c r="U63" s="118"/>
      <c r="V63" s="119"/>
      <c r="W63" s="118"/>
      <c r="X63" s="118"/>
      <c r="Y63" s="118"/>
      <c r="Z63" s="119"/>
      <c r="AA63" s="119">
        <f t="shared" ref="AA63:AA65" si="34">G63*L63*Q63</f>
        <v>12</v>
      </c>
      <c r="AB63" s="120"/>
      <c r="AC63" s="120"/>
      <c r="AD63" s="120"/>
      <c r="AE63" s="120"/>
      <c r="AF63" s="296" t="s">
        <v>155</v>
      </c>
      <c r="AG63" s="292"/>
      <c r="AH63" s="292"/>
      <c r="AI63" s="292"/>
      <c r="AJ63" s="293"/>
      <c r="AK63" s="118">
        <v>4</v>
      </c>
      <c r="AL63" s="121">
        <f t="shared" ref="AL63:AL65" si="35">IF(AK63=5,(AA63*1),IF(AK63=4,(AA63*0.85),IF(AK63=3,(AA63*0.15),IF(AK63=2,(AA63*0.05),IF(AK63=1,(AA63*-0.0000000000000001),(AA63*1))))))</f>
        <v>10.199999999999999</v>
      </c>
      <c r="AM63" s="122">
        <f t="shared" ref="AM63:AM65" si="36">IF(AA63=0,0,(AL63-AA63)/AA63)</f>
        <v>-0.15000000000000005</v>
      </c>
    </row>
    <row r="64" spans="1:39" ht="119.25" customHeight="1">
      <c r="A64" s="288"/>
      <c r="B64" s="289"/>
      <c r="C64" s="289"/>
      <c r="D64" s="290"/>
      <c r="E64" s="296" t="s">
        <v>88</v>
      </c>
      <c r="F64" s="293"/>
      <c r="G64" s="118">
        <v>4</v>
      </c>
      <c r="H64" s="118"/>
      <c r="I64" s="118"/>
      <c r="J64" s="119">
        <f t="shared" si="33"/>
        <v>0</v>
      </c>
      <c r="K64" s="118"/>
      <c r="L64" s="118">
        <v>1</v>
      </c>
      <c r="M64" s="118"/>
      <c r="N64" s="119"/>
      <c r="O64" s="118"/>
      <c r="P64" s="118"/>
      <c r="Q64" s="118">
        <v>1</v>
      </c>
      <c r="R64" s="119"/>
      <c r="S64" s="118"/>
      <c r="T64" s="118"/>
      <c r="U64" s="118"/>
      <c r="V64" s="119"/>
      <c r="W64" s="118"/>
      <c r="X64" s="118"/>
      <c r="Y64" s="118"/>
      <c r="Z64" s="119"/>
      <c r="AA64" s="119">
        <f t="shared" si="34"/>
        <v>4</v>
      </c>
      <c r="AB64" s="120"/>
      <c r="AC64" s="120"/>
      <c r="AD64" s="120"/>
      <c r="AE64" s="120"/>
      <c r="AF64" s="296" t="s">
        <v>163</v>
      </c>
      <c r="AG64" s="292"/>
      <c r="AH64" s="292"/>
      <c r="AI64" s="292"/>
      <c r="AJ64" s="293"/>
      <c r="AK64" s="118">
        <v>4</v>
      </c>
      <c r="AL64" s="121">
        <f t="shared" si="35"/>
        <v>3.4</v>
      </c>
      <c r="AM64" s="122">
        <f t="shared" si="36"/>
        <v>-0.15000000000000002</v>
      </c>
    </row>
    <row r="65" spans="1:39" ht="119.25" customHeight="1">
      <c r="A65" s="291"/>
      <c r="B65" s="292"/>
      <c r="C65" s="292"/>
      <c r="D65" s="293"/>
      <c r="E65" s="296" t="s">
        <v>141</v>
      </c>
      <c r="F65" s="293"/>
      <c r="G65" s="118">
        <v>4</v>
      </c>
      <c r="H65" s="118"/>
      <c r="I65" s="118"/>
      <c r="J65" s="119">
        <f t="shared" si="33"/>
        <v>0</v>
      </c>
      <c r="K65" s="118"/>
      <c r="L65" s="118">
        <v>2</v>
      </c>
      <c r="M65" s="118"/>
      <c r="N65" s="119"/>
      <c r="O65" s="118"/>
      <c r="P65" s="118"/>
      <c r="Q65" s="118">
        <v>2</v>
      </c>
      <c r="R65" s="119"/>
      <c r="S65" s="118"/>
      <c r="T65" s="118"/>
      <c r="U65" s="118"/>
      <c r="V65" s="119"/>
      <c r="W65" s="118"/>
      <c r="X65" s="118"/>
      <c r="Y65" s="118"/>
      <c r="Z65" s="119"/>
      <c r="AA65" s="119">
        <f t="shared" si="34"/>
        <v>16</v>
      </c>
      <c r="AB65" s="120"/>
      <c r="AC65" s="120"/>
      <c r="AD65" s="120"/>
      <c r="AE65" s="120"/>
      <c r="AF65" s="296" t="s">
        <v>154</v>
      </c>
      <c r="AG65" s="292"/>
      <c r="AH65" s="292"/>
      <c r="AI65" s="292"/>
      <c r="AJ65" s="293"/>
      <c r="AK65" s="118">
        <v>4</v>
      </c>
      <c r="AL65" s="121">
        <f t="shared" si="35"/>
        <v>13.6</v>
      </c>
      <c r="AM65" s="122">
        <f t="shared" si="36"/>
        <v>-0.15000000000000002</v>
      </c>
    </row>
    <row r="66" spans="1:39" ht="119.25" customHeight="1">
      <c r="A66" s="297" t="s">
        <v>100</v>
      </c>
      <c r="B66" s="298"/>
      <c r="C66" s="298"/>
      <c r="D66" s="299"/>
      <c r="E66" s="294" t="s">
        <v>86</v>
      </c>
      <c r="F66" s="295"/>
      <c r="G66" s="118">
        <v>4</v>
      </c>
      <c r="H66" s="118"/>
      <c r="I66" s="118"/>
      <c r="J66" s="119">
        <f t="shared" ref="J66:J69" si="37">G66*H66*I66*5</f>
        <v>0</v>
      </c>
      <c r="K66" s="118"/>
      <c r="L66" s="118">
        <v>2</v>
      </c>
      <c r="M66" s="118"/>
      <c r="N66" s="119"/>
      <c r="O66" s="118"/>
      <c r="P66" s="118"/>
      <c r="Q66" s="118">
        <v>1</v>
      </c>
      <c r="R66" s="123"/>
      <c r="S66" s="123"/>
      <c r="T66" s="123"/>
      <c r="U66" s="123"/>
      <c r="V66" s="123"/>
      <c r="W66" s="123"/>
      <c r="X66" s="123"/>
      <c r="Y66" s="123"/>
      <c r="Z66" s="123"/>
      <c r="AA66" s="124">
        <f t="shared" si="7"/>
        <v>8</v>
      </c>
      <c r="AB66" s="125"/>
      <c r="AC66" s="125"/>
      <c r="AD66" s="125"/>
      <c r="AE66" s="125"/>
      <c r="AF66" s="296" t="s">
        <v>156</v>
      </c>
      <c r="AG66" s="292"/>
      <c r="AH66" s="292"/>
      <c r="AI66" s="292"/>
      <c r="AJ66" s="293"/>
      <c r="AK66" s="118">
        <v>4</v>
      </c>
      <c r="AL66" s="121">
        <f t="shared" si="8"/>
        <v>6.8</v>
      </c>
      <c r="AM66" s="122">
        <f t="shared" si="9"/>
        <v>-0.15000000000000002</v>
      </c>
    </row>
    <row r="67" spans="1:39" ht="119.25" customHeight="1">
      <c r="A67" s="288"/>
      <c r="B67" s="289"/>
      <c r="C67" s="289"/>
      <c r="D67" s="290"/>
      <c r="E67" s="296" t="s">
        <v>87</v>
      </c>
      <c r="F67" s="293"/>
      <c r="G67" s="118">
        <v>4</v>
      </c>
      <c r="H67" s="118"/>
      <c r="I67" s="118"/>
      <c r="J67" s="119">
        <f t="shared" si="37"/>
        <v>0</v>
      </c>
      <c r="K67" s="118"/>
      <c r="L67" s="118">
        <v>3</v>
      </c>
      <c r="M67" s="118"/>
      <c r="N67" s="119"/>
      <c r="O67" s="118"/>
      <c r="P67" s="118"/>
      <c r="Q67" s="118">
        <v>1</v>
      </c>
      <c r="R67" s="119"/>
      <c r="S67" s="118"/>
      <c r="T67" s="118"/>
      <c r="U67" s="118"/>
      <c r="V67" s="119"/>
      <c r="W67" s="118"/>
      <c r="X67" s="118"/>
      <c r="Y67" s="118"/>
      <c r="Z67" s="119"/>
      <c r="AA67" s="119">
        <f t="shared" ref="AA67:AA69" si="38">G67*L67*Q67</f>
        <v>12</v>
      </c>
      <c r="AB67" s="120"/>
      <c r="AC67" s="120"/>
      <c r="AD67" s="120"/>
      <c r="AE67" s="120"/>
      <c r="AF67" s="296" t="s">
        <v>155</v>
      </c>
      <c r="AG67" s="292"/>
      <c r="AH67" s="292"/>
      <c r="AI67" s="292"/>
      <c r="AJ67" s="293"/>
      <c r="AK67" s="118">
        <v>4</v>
      </c>
      <c r="AL67" s="121">
        <f t="shared" ref="AL67:AL69" si="39">IF(AK67=5,(AA67*1),IF(AK67=4,(AA67*0.85),IF(AK67=3,(AA67*0.15),IF(AK67=2,(AA67*0.05),IF(AK67=1,(AA67*-0.0000000000000001),(AA67*1))))))</f>
        <v>10.199999999999999</v>
      </c>
      <c r="AM67" s="122">
        <f t="shared" ref="AM67:AM69" si="40">IF(AA67=0,0,(AL67-AA67)/AA67)</f>
        <v>-0.15000000000000005</v>
      </c>
    </row>
    <row r="68" spans="1:39" ht="119.25" customHeight="1">
      <c r="A68" s="288"/>
      <c r="B68" s="289"/>
      <c r="C68" s="289"/>
      <c r="D68" s="290"/>
      <c r="E68" s="296" t="s">
        <v>88</v>
      </c>
      <c r="F68" s="293"/>
      <c r="G68" s="118">
        <v>4</v>
      </c>
      <c r="H68" s="118"/>
      <c r="I68" s="118"/>
      <c r="J68" s="119">
        <f t="shared" si="37"/>
        <v>0</v>
      </c>
      <c r="K68" s="118"/>
      <c r="L68" s="118">
        <v>3</v>
      </c>
      <c r="M68" s="118"/>
      <c r="N68" s="119"/>
      <c r="O68" s="118"/>
      <c r="P68" s="118"/>
      <c r="Q68" s="118">
        <v>1</v>
      </c>
      <c r="R68" s="119"/>
      <c r="S68" s="118"/>
      <c r="T68" s="118"/>
      <c r="U68" s="118"/>
      <c r="V68" s="119"/>
      <c r="W68" s="118"/>
      <c r="X68" s="118"/>
      <c r="Y68" s="118"/>
      <c r="Z68" s="119"/>
      <c r="AA68" s="119">
        <f t="shared" si="38"/>
        <v>12</v>
      </c>
      <c r="AB68" s="120"/>
      <c r="AC68" s="120"/>
      <c r="AD68" s="120"/>
      <c r="AE68" s="120"/>
      <c r="AF68" s="296" t="s">
        <v>163</v>
      </c>
      <c r="AG68" s="292"/>
      <c r="AH68" s="292"/>
      <c r="AI68" s="292"/>
      <c r="AJ68" s="293"/>
      <c r="AK68" s="118">
        <v>4</v>
      </c>
      <c r="AL68" s="121">
        <f t="shared" si="39"/>
        <v>10.199999999999999</v>
      </c>
      <c r="AM68" s="122">
        <f t="shared" si="40"/>
        <v>-0.15000000000000005</v>
      </c>
    </row>
    <row r="69" spans="1:39" ht="119.25" customHeight="1">
      <c r="A69" s="288"/>
      <c r="B69" s="289"/>
      <c r="C69" s="289"/>
      <c r="D69" s="290"/>
      <c r="E69" s="296" t="s">
        <v>141</v>
      </c>
      <c r="F69" s="293"/>
      <c r="G69" s="118">
        <v>4</v>
      </c>
      <c r="H69" s="118"/>
      <c r="I69" s="118"/>
      <c r="J69" s="119">
        <f t="shared" si="37"/>
        <v>0</v>
      </c>
      <c r="K69" s="118"/>
      <c r="L69" s="118">
        <v>1</v>
      </c>
      <c r="M69" s="118"/>
      <c r="N69" s="119"/>
      <c r="O69" s="118"/>
      <c r="P69" s="118"/>
      <c r="Q69" s="118">
        <v>1</v>
      </c>
      <c r="R69" s="119"/>
      <c r="S69" s="118"/>
      <c r="T69" s="118"/>
      <c r="U69" s="118"/>
      <c r="V69" s="119"/>
      <c r="W69" s="118"/>
      <c r="X69" s="118"/>
      <c r="Y69" s="118"/>
      <c r="Z69" s="119"/>
      <c r="AA69" s="119">
        <f t="shared" si="38"/>
        <v>4</v>
      </c>
      <c r="AB69" s="120"/>
      <c r="AC69" s="120"/>
      <c r="AD69" s="120"/>
      <c r="AE69" s="120"/>
      <c r="AF69" s="296" t="s">
        <v>154</v>
      </c>
      <c r="AG69" s="292"/>
      <c r="AH69" s="292"/>
      <c r="AI69" s="292"/>
      <c r="AJ69" s="293"/>
      <c r="AK69" s="118">
        <v>4</v>
      </c>
      <c r="AL69" s="121">
        <f t="shared" si="39"/>
        <v>3.4</v>
      </c>
      <c r="AM69" s="122">
        <f t="shared" si="40"/>
        <v>-0.15000000000000002</v>
      </c>
    </row>
    <row r="70" spans="1:39" ht="39.75" customHeight="1" thickBot="1">
      <c r="A70" s="331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32"/>
      <c r="P70" s="332"/>
      <c r="Q70" s="332"/>
      <c r="R70" s="332"/>
      <c r="S70" s="332"/>
      <c r="T70" s="332"/>
      <c r="U70" s="332"/>
      <c r="V70" s="332"/>
      <c r="W70" s="332"/>
      <c r="X70" s="332"/>
      <c r="Y70" s="332"/>
      <c r="Z70" s="332"/>
      <c r="AA70" s="332"/>
      <c r="AB70" s="332"/>
      <c r="AC70" s="332"/>
      <c r="AD70" s="332"/>
      <c r="AE70" s="332"/>
      <c r="AF70" s="332"/>
      <c r="AG70" s="332"/>
      <c r="AH70" s="332"/>
      <c r="AI70" s="332"/>
      <c r="AJ70" s="332"/>
      <c r="AK70" s="332"/>
      <c r="AL70" s="332"/>
      <c r="AM70" s="333"/>
    </row>
    <row r="71" spans="1:39" ht="36" customHeight="1" thickBot="1">
      <c r="A71" s="245" t="s">
        <v>151</v>
      </c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7"/>
    </row>
    <row r="72" spans="1:39" ht="36" customHeight="1" thickBot="1">
      <c r="A72" s="193" t="s">
        <v>32</v>
      </c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5"/>
    </row>
    <row r="73" spans="1:39" ht="36" customHeight="1">
      <c r="A73" s="14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5"/>
    </row>
    <row r="74" spans="1:39" ht="36" customHeight="1">
      <c r="A74" s="12"/>
      <c r="B74" s="1"/>
      <c r="C74" s="1"/>
      <c r="D74" s="20"/>
      <c r="E74" s="1" t="s">
        <v>33</v>
      </c>
      <c r="F74" s="2" t="s">
        <v>34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1" t="s">
        <v>35</v>
      </c>
      <c r="AB74" s="2"/>
      <c r="AC74" s="2"/>
      <c r="AD74" s="2"/>
      <c r="AE74" s="2"/>
      <c r="AG74" s="1"/>
      <c r="AI74" s="1" t="s">
        <v>36</v>
      </c>
      <c r="AJ74" s="1"/>
      <c r="AK74" s="329" t="s">
        <v>37</v>
      </c>
      <c r="AL74" s="329"/>
      <c r="AM74" s="31"/>
    </row>
    <row r="75" spans="1:39" ht="36" customHeight="1">
      <c r="A75" s="12"/>
      <c r="B75" s="1"/>
      <c r="C75" s="1"/>
      <c r="D75" s="20"/>
      <c r="E75" s="1" t="s">
        <v>38</v>
      </c>
      <c r="F75" s="2" t="s">
        <v>39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1" t="s">
        <v>40</v>
      </c>
      <c r="AB75" s="2"/>
      <c r="AC75" s="2"/>
      <c r="AD75" s="2"/>
      <c r="AE75" s="2"/>
      <c r="AG75" s="1"/>
      <c r="AI75" s="1" t="s">
        <v>41</v>
      </c>
      <c r="AK75" s="329" t="s">
        <v>42</v>
      </c>
      <c r="AL75" s="329"/>
      <c r="AM75" s="31"/>
    </row>
    <row r="76" spans="1:39" ht="36" customHeight="1">
      <c r="A76" s="12"/>
      <c r="B76" s="1"/>
      <c r="C76" s="1"/>
      <c r="D76" s="20"/>
      <c r="E76" s="1" t="s">
        <v>43</v>
      </c>
      <c r="F76" s="19" t="s">
        <v>44</v>
      </c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2" t="s">
        <v>45</v>
      </c>
      <c r="AB76" s="19"/>
      <c r="AC76" s="19"/>
      <c r="AD76" s="19"/>
      <c r="AE76" s="19"/>
      <c r="AG76" s="1"/>
      <c r="AI76" s="1" t="s">
        <v>46</v>
      </c>
      <c r="AK76" s="1" t="s">
        <v>47</v>
      </c>
      <c r="AM76" s="31"/>
    </row>
    <row r="77" spans="1:39" ht="36" customHeight="1">
      <c r="A77" s="11"/>
      <c r="B77" s="1"/>
      <c r="C77" s="1"/>
      <c r="D77" s="20"/>
      <c r="E77" s="1" t="s">
        <v>48</v>
      </c>
      <c r="F77" s="1" t="s">
        <v>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 t="s">
        <v>50</v>
      </c>
      <c r="AB77" s="1"/>
      <c r="AC77" s="1"/>
      <c r="AD77" s="1"/>
      <c r="AE77" s="1"/>
      <c r="AG77" s="1"/>
      <c r="AI77" s="329" t="s">
        <v>51</v>
      </c>
      <c r="AK77" s="1" t="s">
        <v>52</v>
      </c>
      <c r="AL77" s="1"/>
      <c r="AM77" s="31"/>
    </row>
    <row r="78" spans="1:39" ht="36" customHeight="1">
      <c r="A78" s="11"/>
      <c r="B78" s="1"/>
      <c r="C78" s="1"/>
      <c r="D78" s="20"/>
      <c r="E78" s="2" t="s">
        <v>53</v>
      </c>
      <c r="F78" s="2" t="s">
        <v>54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1" t="s">
        <v>55</v>
      </c>
      <c r="AB78" s="2"/>
      <c r="AC78" s="2"/>
      <c r="AD78" s="2"/>
      <c r="AE78" s="2"/>
      <c r="AG78" s="1"/>
      <c r="AI78" s="329"/>
      <c r="AK78" s="2" t="s">
        <v>56</v>
      </c>
      <c r="AM78" s="31"/>
    </row>
    <row r="79" spans="1:39" ht="36" customHeight="1">
      <c r="A79" s="12"/>
      <c r="B79" s="1"/>
      <c r="C79" s="1"/>
      <c r="D79" s="20"/>
      <c r="E79" s="1" t="s">
        <v>57</v>
      </c>
      <c r="F79" s="329" t="s">
        <v>58</v>
      </c>
      <c r="G79" s="32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 t="s">
        <v>59</v>
      </c>
      <c r="AB79" s="1"/>
      <c r="AC79" s="1"/>
      <c r="AD79" s="1"/>
      <c r="AE79" s="1"/>
      <c r="AG79" s="1"/>
      <c r="AI79" s="1" t="s">
        <v>60</v>
      </c>
      <c r="AK79" s="1"/>
      <c r="AL79" s="1"/>
      <c r="AM79" s="32"/>
    </row>
    <row r="80" spans="1:39" ht="36" customHeight="1">
      <c r="A80" s="12"/>
      <c r="B80" s="1"/>
      <c r="C80" s="1"/>
      <c r="D80" s="1"/>
      <c r="E80" s="1" t="s">
        <v>61</v>
      </c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 t="s">
        <v>62</v>
      </c>
      <c r="AB80" s="1"/>
      <c r="AC80" s="1"/>
      <c r="AD80" s="1"/>
      <c r="AE80" s="1"/>
      <c r="AG80" s="1"/>
      <c r="AH80" s="1"/>
      <c r="AI80" s="3" t="s">
        <v>63</v>
      </c>
      <c r="AK80" s="1"/>
      <c r="AL80" s="1"/>
      <c r="AM80" s="31"/>
    </row>
    <row r="81" spans="1:39" ht="36" customHeight="1">
      <c r="A81" s="1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G81" s="1"/>
      <c r="AH81" s="1"/>
      <c r="AI81" s="3"/>
      <c r="AK81" s="1"/>
      <c r="AL81" s="1"/>
      <c r="AM81" s="31"/>
    </row>
    <row r="82" spans="1:39" ht="36" customHeight="1" thickBot="1">
      <c r="A82" s="1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3"/>
      <c r="AK82" s="1"/>
      <c r="AL82" s="1"/>
      <c r="AM82" s="31"/>
    </row>
    <row r="83" spans="1:39" ht="102.6" customHeight="1" thickBot="1">
      <c r="A83" s="337" t="s">
        <v>153</v>
      </c>
      <c r="B83" s="338"/>
      <c r="C83" s="338"/>
      <c r="D83" s="339"/>
      <c r="E83" s="340" t="s">
        <v>64</v>
      </c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9"/>
      <c r="AB83" s="17"/>
      <c r="AC83" s="17"/>
      <c r="AD83" s="17"/>
      <c r="AE83" s="17"/>
      <c r="AF83" s="265" t="s">
        <v>65</v>
      </c>
      <c r="AG83" s="266"/>
      <c r="AH83" s="266"/>
      <c r="AI83" s="267" t="s">
        <v>147</v>
      </c>
      <c r="AJ83" s="268"/>
      <c r="AK83" s="268"/>
      <c r="AL83" s="268"/>
      <c r="AM83" s="269"/>
    </row>
    <row r="84" spans="1:39" ht="167.45" customHeight="1" thickBot="1">
      <c r="A84" s="344"/>
      <c r="B84" s="345"/>
      <c r="C84" s="345"/>
      <c r="D84" s="346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348"/>
      <c r="AB84" s="16"/>
      <c r="AC84" s="16"/>
      <c r="AD84" s="16"/>
      <c r="AE84" s="16"/>
      <c r="AF84" s="103" t="s">
        <v>202</v>
      </c>
      <c r="AG84" s="353" t="s">
        <v>101</v>
      </c>
      <c r="AH84" s="354"/>
      <c r="AI84" s="274" t="s">
        <v>201</v>
      </c>
      <c r="AJ84" s="274"/>
      <c r="AK84" s="274"/>
      <c r="AL84" s="274"/>
      <c r="AM84" s="275"/>
    </row>
    <row r="85" spans="1:39" ht="66.95" customHeight="1" thickBot="1">
      <c r="A85" s="355" t="s">
        <v>66</v>
      </c>
      <c r="B85" s="356"/>
      <c r="C85" s="356"/>
      <c r="D85" s="357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350"/>
      <c r="AB85" s="16"/>
      <c r="AC85" s="16"/>
      <c r="AD85" s="16"/>
      <c r="AE85" s="16"/>
      <c r="AF85" s="104" t="s">
        <v>205</v>
      </c>
      <c r="AG85" s="353">
        <v>1111</v>
      </c>
      <c r="AH85" s="354"/>
      <c r="AI85" s="266" t="s">
        <v>146</v>
      </c>
      <c r="AJ85" s="266"/>
      <c r="AK85" s="266"/>
      <c r="AL85" s="90" t="s">
        <v>67</v>
      </c>
      <c r="AM85" s="92" t="s">
        <v>68</v>
      </c>
    </row>
    <row r="86" spans="1:39" ht="59.1" customHeight="1" thickBot="1">
      <c r="A86" s="252" t="s">
        <v>11</v>
      </c>
      <c r="B86" s="253"/>
      <c r="C86" s="253"/>
      <c r="D86" s="254"/>
      <c r="E86" s="351"/>
      <c r="F86" s="351"/>
      <c r="G86" s="351"/>
      <c r="H86" s="351"/>
      <c r="I86" s="351"/>
      <c r="J86" s="351"/>
      <c r="K86" s="351"/>
      <c r="L86" s="351"/>
      <c r="M86" s="351"/>
      <c r="N86" s="351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  <c r="AA86" s="352"/>
      <c r="AB86" s="1"/>
      <c r="AC86" s="1"/>
      <c r="AD86" s="1"/>
      <c r="AE86" s="1"/>
      <c r="AF86" s="255" t="s">
        <v>204</v>
      </c>
      <c r="AG86" s="358" t="s">
        <v>103</v>
      </c>
      <c r="AH86" s="359"/>
      <c r="AI86" s="162" t="s">
        <v>69</v>
      </c>
      <c r="AJ86" s="163"/>
      <c r="AK86" s="163"/>
      <c r="AL86" s="177"/>
      <c r="AM86" s="94"/>
    </row>
    <row r="87" spans="1:39" ht="76.5" customHeight="1" thickBot="1">
      <c r="A87" s="142" t="s">
        <v>12</v>
      </c>
      <c r="B87" s="143"/>
      <c r="C87" s="143"/>
      <c r="D87" s="144"/>
      <c r="E87" s="362" t="s">
        <v>200</v>
      </c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64"/>
      <c r="AB87" s="16"/>
      <c r="AC87" s="16"/>
      <c r="AD87" s="16"/>
      <c r="AE87" s="16"/>
      <c r="AF87" s="256"/>
      <c r="AG87" s="360"/>
      <c r="AH87" s="361"/>
      <c r="AI87" s="162" t="s">
        <v>70</v>
      </c>
      <c r="AJ87" s="163"/>
      <c r="AK87" s="163"/>
      <c r="AL87" s="178"/>
      <c r="AM87" s="94"/>
    </row>
    <row r="88" spans="1:39" ht="86.45" customHeight="1" thickBot="1">
      <c r="A88" s="142" t="s">
        <v>13</v>
      </c>
      <c r="B88" s="143"/>
      <c r="C88" s="143"/>
      <c r="D88" s="144"/>
      <c r="E88" s="341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  <c r="AA88" s="365"/>
      <c r="AB88" s="1"/>
      <c r="AC88" s="1"/>
      <c r="AD88" s="1"/>
      <c r="AE88" s="1"/>
      <c r="AF88" s="105" t="s">
        <v>203</v>
      </c>
      <c r="AG88" s="353" t="s">
        <v>102</v>
      </c>
      <c r="AH88" s="354"/>
      <c r="AI88" s="162" t="s">
        <v>71</v>
      </c>
      <c r="AJ88" s="163"/>
      <c r="AK88" s="163"/>
      <c r="AL88" s="178"/>
      <c r="AM88" s="95"/>
    </row>
    <row r="89" spans="1:39" ht="86.45" customHeight="1" thickBot="1">
      <c r="A89" s="142" t="s">
        <v>14</v>
      </c>
      <c r="B89" s="143"/>
      <c r="C89" s="143"/>
      <c r="D89" s="144"/>
      <c r="E89" s="366" t="s">
        <v>145</v>
      </c>
      <c r="F89" s="367"/>
      <c r="G89" s="367"/>
      <c r="H89" s="367"/>
      <c r="I89" s="367"/>
      <c r="J89" s="367"/>
      <c r="K89" s="367"/>
      <c r="L89" s="367"/>
      <c r="M89" s="367"/>
      <c r="N89" s="367"/>
      <c r="O89" s="367"/>
      <c r="P89" s="367"/>
      <c r="Q89" s="367"/>
      <c r="R89" s="367"/>
      <c r="S89" s="367"/>
      <c r="T89" s="367"/>
      <c r="U89" s="367"/>
      <c r="V89" s="367"/>
      <c r="W89" s="367"/>
      <c r="X89" s="367"/>
      <c r="Y89" s="367"/>
      <c r="Z89" s="367"/>
      <c r="AA89" s="368"/>
      <c r="AB89" s="5"/>
      <c r="AC89" s="5"/>
      <c r="AD89" s="5"/>
      <c r="AE89" s="5"/>
      <c r="AF89" s="369" t="s">
        <v>149</v>
      </c>
      <c r="AG89" s="347"/>
      <c r="AH89" s="370"/>
      <c r="AI89" s="162" t="s">
        <v>72</v>
      </c>
      <c r="AJ89" s="163"/>
      <c r="AK89" s="163"/>
      <c r="AL89" s="178"/>
      <c r="AM89" s="95"/>
    </row>
    <row r="90" spans="1:39" ht="86.45" customHeight="1" thickBot="1">
      <c r="A90" s="142" t="s">
        <v>73</v>
      </c>
      <c r="B90" s="143"/>
      <c r="C90" s="143"/>
      <c r="D90" s="144"/>
      <c r="E90" s="341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  <c r="AA90" s="343"/>
      <c r="AB90" s="4"/>
      <c r="AC90" s="4"/>
      <c r="AD90" s="4"/>
      <c r="AE90" s="4"/>
      <c r="AF90" s="371"/>
      <c r="AG90" s="351"/>
      <c r="AH90" s="372"/>
      <c r="AI90" s="162" t="s">
        <v>74</v>
      </c>
      <c r="AJ90" s="163"/>
      <c r="AK90" s="163"/>
      <c r="AL90" s="178"/>
      <c r="AM90" s="95"/>
    </row>
    <row r="91" spans="1:39" ht="86.45" customHeight="1" thickBot="1">
      <c r="A91" s="142" t="s">
        <v>16</v>
      </c>
      <c r="B91" s="143"/>
      <c r="C91" s="143"/>
      <c r="D91" s="144"/>
      <c r="E91" s="366" t="s">
        <v>162</v>
      </c>
      <c r="F91" s="367"/>
      <c r="G91" s="367"/>
      <c r="H91" s="367"/>
      <c r="I91" s="367"/>
      <c r="J91" s="367"/>
      <c r="K91" s="367"/>
      <c r="L91" s="367"/>
      <c r="M91" s="367"/>
      <c r="N91" s="367"/>
      <c r="O91" s="367"/>
      <c r="P91" s="367"/>
      <c r="Q91" s="367"/>
      <c r="R91" s="367"/>
      <c r="S91" s="367"/>
      <c r="T91" s="367"/>
      <c r="U91" s="367"/>
      <c r="V91" s="367"/>
      <c r="W91" s="367"/>
      <c r="X91" s="367"/>
      <c r="Y91" s="367"/>
      <c r="Z91" s="367"/>
      <c r="AA91" s="368"/>
      <c r="AB91" s="5"/>
      <c r="AC91" s="5"/>
      <c r="AD91" s="5"/>
      <c r="AE91" s="5"/>
      <c r="AF91" s="369" t="s">
        <v>148</v>
      </c>
      <c r="AG91" s="347"/>
      <c r="AH91" s="370"/>
      <c r="AI91" s="162" t="s">
        <v>75</v>
      </c>
      <c r="AJ91" s="163"/>
      <c r="AK91" s="163"/>
      <c r="AL91" s="178"/>
      <c r="AM91" s="95"/>
    </row>
    <row r="92" spans="1:39" ht="86.45" customHeight="1" thickBot="1">
      <c r="A92" s="142" t="s">
        <v>17</v>
      </c>
      <c r="B92" s="143"/>
      <c r="C92" s="143"/>
      <c r="D92" s="144"/>
      <c r="E92" s="373"/>
      <c r="F92" s="374"/>
      <c r="G92" s="374"/>
      <c r="H92" s="374"/>
      <c r="I92" s="374"/>
      <c r="J92" s="374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  <c r="AA92" s="375"/>
      <c r="AB92" s="9"/>
      <c r="AC92" s="9"/>
      <c r="AD92" s="9"/>
      <c r="AE92" s="9"/>
      <c r="AF92" s="371"/>
      <c r="AG92" s="351"/>
      <c r="AH92" s="372"/>
      <c r="AI92" s="162" t="s">
        <v>76</v>
      </c>
      <c r="AJ92" s="163"/>
      <c r="AK92" s="163"/>
      <c r="AL92" s="178"/>
      <c r="AM92" s="95"/>
    </row>
    <row r="93" spans="1:39" ht="86.45" customHeight="1">
      <c r="A93" s="142" t="s">
        <v>18</v>
      </c>
      <c r="B93" s="143"/>
      <c r="C93" s="143"/>
      <c r="D93" s="144"/>
      <c r="E93" s="379"/>
      <c r="F93" s="380"/>
      <c r="G93" s="380"/>
      <c r="H93" s="380"/>
      <c r="I93" s="380"/>
      <c r="J93" s="380"/>
      <c r="K93" s="380"/>
      <c r="L93" s="380"/>
      <c r="M93" s="380"/>
      <c r="N93" s="380"/>
      <c r="O93" s="380"/>
      <c r="P93" s="380"/>
      <c r="Q93" s="380"/>
      <c r="R93" s="380"/>
      <c r="S93" s="380"/>
      <c r="T93" s="380"/>
      <c r="U93" s="380"/>
      <c r="V93" s="380"/>
      <c r="W93" s="380"/>
      <c r="X93" s="380"/>
      <c r="Y93" s="380"/>
      <c r="Z93" s="380"/>
      <c r="AA93" s="381"/>
      <c r="AB93" s="9"/>
      <c r="AC93" s="9"/>
      <c r="AD93" s="9"/>
      <c r="AE93" s="9"/>
      <c r="AF93" s="369" t="s">
        <v>77</v>
      </c>
      <c r="AG93" s="347"/>
      <c r="AH93" s="370"/>
      <c r="AI93" s="162" t="s">
        <v>78</v>
      </c>
      <c r="AJ93" s="163"/>
      <c r="AK93" s="163"/>
      <c r="AL93" s="178"/>
      <c r="AM93" s="95"/>
    </row>
    <row r="94" spans="1:39" ht="86.45" customHeight="1" thickBot="1">
      <c r="A94" s="142" t="s">
        <v>19</v>
      </c>
      <c r="B94" s="143"/>
      <c r="C94" s="143"/>
      <c r="D94" s="144"/>
      <c r="AB94" s="9"/>
      <c r="AC94" s="9"/>
      <c r="AD94" s="9"/>
      <c r="AE94" s="9"/>
      <c r="AF94" s="371"/>
      <c r="AG94" s="351"/>
      <c r="AH94" s="372"/>
      <c r="AI94" s="162" t="s">
        <v>143</v>
      </c>
      <c r="AJ94" s="163"/>
      <c r="AK94" s="163"/>
      <c r="AL94" s="178"/>
      <c r="AM94" s="95"/>
    </row>
    <row r="95" spans="1:39" ht="86.45" customHeight="1" thickBot="1">
      <c r="A95" s="142" t="s">
        <v>20</v>
      </c>
      <c r="B95" s="143"/>
      <c r="C95" s="143"/>
      <c r="D95" s="144"/>
      <c r="E95" s="379"/>
      <c r="F95" s="380"/>
      <c r="G95" s="380"/>
      <c r="H95" s="380"/>
      <c r="I95" s="380"/>
      <c r="J95" s="380"/>
      <c r="K95" s="380"/>
      <c r="L95" s="380"/>
      <c r="M95" s="380"/>
      <c r="N95" s="380"/>
      <c r="O95" s="380"/>
      <c r="P95" s="380"/>
      <c r="Q95" s="380"/>
      <c r="R95" s="380"/>
      <c r="S95" s="380"/>
      <c r="T95" s="380"/>
      <c r="U95" s="380"/>
      <c r="V95" s="380"/>
      <c r="W95" s="380"/>
      <c r="X95" s="380"/>
      <c r="Y95" s="380"/>
      <c r="Z95" s="380"/>
      <c r="AA95" s="381"/>
      <c r="AB95" s="9"/>
      <c r="AC95" s="9"/>
      <c r="AD95" s="9"/>
      <c r="AE95" s="9"/>
      <c r="AF95" s="369" t="s">
        <v>150</v>
      </c>
      <c r="AG95" s="347"/>
      <c r="AH95" s="370"/>
      <c r="AI95" s="164" t="s">
        <v>144</v>
      </c>
      <c r="AJ95" s="165"/>
      <c r="AK95" s="165"/>
      <c r="AL95" s="178"/>
      <c r="AM95" s="98"/>
    </row>
    <row r="96" spans="1:39" ht="86.45" customHeight="1" thickBot="1">
      <c r="A96" s="142" t="s">
        <v>21</v>
      </c>
      <c r="B96" s="143"/>
      <c r="C96" s="143"/>
      <c r="D96" s="144"/>
      <c r="E96" s="376"/>
      <c r="F96" s="377"/>
      <c r="G96" s="377"/>
      <c r="H96" s="377"/>
      <c r="I96" s="377"/>
      <c r="J96" s="377"/>
      <c r="K96" s="377"/>
      <c r="L96" s="377"/>
      <c r="M96" s="377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77"/>
      <c r="Y96" s="377"/>
      <c r="Z96" s="377"/>
      <c r="AA96" s="378"/>
      <c r="AB96" s="13"/>
      <c r="AC96" s="13"/>
      <c r="AD96" s="13"/>
      <c r="AE96" s="13"/>
      <c r="AF96" s="371"/>
      <c r="AG96" s="351"/>
      <c r="AH96" s="372"/>
      <c r="AI96" s="251" t="s">
        <v>79</v>
      </c>
      <c r="AJ96" s="249"/>
      <c r="AK96" s="250"/>
      <c r="AL96" s="179"/>
      <c r="AM96" s="99"/>
    </row>
  </sheetData>
  <mergeCells count="192">
    <mergeCell ref="A96:D96"/>
    <mergeCell ref="E96:AA96"/>
    <mergeCell ref="AI96:AK96"/>
    <mergeCell ref="AF93:AH94"/>
    <mergeCell ref="AI93:AK93"/>
    <mergeCell ref="E93:AA93"/>
    <mergeCell ref="AI94:AK94"/>
    <mergeCell ref="E95:AA95"/>
    <mergeCell ref="AF95:AH96"/>
    <mergeCell ref="AI95:AK95"/>
    <mergeCell ref="A95:D95"/>
    <mergeCell ref="E88:AA88"/>
    <mergeCell ref="AG88:AH88"/>
    <mergeCell ref="AI88:AK88"/>
    <mergeCell ref="A89:D89"/>
    <mergeCell ref="A93:D93"/>
    <mergeCell ref="A94:D94"/>
    <mergeCell ref="E91:AA91"/>
    <mergeCell ref="AF91:AH92"/>
    <mergeCell ref="AI91:AK91"/>
    <mergeCell ref="E92:AA92"/>
    <mergeCell ref="AI92:AK92"/>
    <mergeCell ref="E89:AA89"/>
    <mergeCell ref="AF89:AH90"/>
    <mergeCell ref="AI89:AK89"/>
    <mergeCell ref="A90:D90"/>
    <mergeCell ref="A91:D91"/>
    <mergeCell ref="A92:D92"/>
    <mergeCell ref="AI77:AI78"/>
    <mergeCell ref="F79:G79"/>
    <mergeCell ref="A83:D83"/>
    <mergeCell ref="E83:AA83"/>
    <mergeCell ref="AF83:AH83"/>
    <mergeCell ref="AI83:AM83"/>
    <mergeCell ref="E90:AA90"/>
    <mergeCell ref="AI90:AK90"/>
    <mergeCell ref="A84:D84"/>
    <mergeCell ref="E84:AA86"/>
    <mergeCell ref="AG84:AH84"/>
    <mergeCell ref="AI84:AM84"/>
    <mergeCell ref="A85:D85"/>
    <mergeCell ref="AG85:AH85"/>
    <mergeCell ref="AI85:AK85"/>
    <mergeCell ref="A86:D86"/>
    <mergeCell ref="AF86:AF87"/>
    <mergeCell ref="AG86:AH87"/>
    <mergeCell ref="AI86:AK86"/>
    <mergeCell ref="AL86:AL96"/>
    <mergeCell ref="A87:D87"/>
    <mergeCell ref="E87:AA87"/>
    <mergeCell ref="AI87:AK87"/>
    <mergeCell ref="A88:D88"/>
    <mergeCell ref="A72:AM72"/>
    <mergeCell ref="AF26:AH27"/>
    <mergeCell ref="AF52:AJ52"/>
    <mergeCell ref="AF39:AJ39"/>
    <mergeCell ref="AF38:AJ38"/>
    <mergeCell ref="E38:F38"/>
    <mergeCell ref="AK74:AL74"/>
    <mergeCell ref="E30:F30"/>
    <mergeCell ref="AF30:AJ30"/>
    <mergeCell ref="E29:F29"/>
    <mergeCell ref="AF29:AJ29"/>
    <mergeCell ref="E31:F31"/>
    <mergeCell ref="AF31:AJ31"/>
    <mergeCell ref="E32:F32"/>
    <mergeCell ref="AF32:AJ32"/>
    <mergeCell ref="E33:F33"/>
    <mergeCell ref="AF33:AJ33"/>
    <mergeCell ref="E37:F37"/>
    <mergeCell ref="AF37:AJ37"/>
    <mergeCell ref="E35:F35"/>
    <mergeCell ref="AF35:AJ35"/>
    <mergeCell ref="E36:F36"/>
    <mergeCell ref="A29:D32"/>
    <mergeCell ref="AF36:AJ36"/>
    <mergeCell ref="AK75:AL75"/>
    <mergeCell ref="E40:F40"/>
    <mergeCell ref="E41:F41"/>
    <mergeCell ref="AF41:AJ41"/>
    <mergeCell ref="AF42:AJ42"/>
    <mergeCell ref="E39:F39"/>
    <mergeCell ref="AF40:AJ40"/>
    <mergeCell ref="E43:F43"/>
    <mergeCell ref="AF43:AJ43"/>
    <mergeCell ref="E45:F45"/>
    <mergeCell ref="AF45:AJ45"/>
    <mergeCell ref="E42:F42"/>
    <mergeCell ref="E44:F44"/>
    <mergeCell ref="AF44:AJ44"/>
    <mergeCell ref="E49:F49"/>
    <mergeCell ref="AF49:AJ49"/>
    <mergeCell ref="E55:F55"/>
    <mergeCell ref="AF55:AJ55"/>
    <mergeCell ref="E69:F69"/>
    <mergeCell ref="AF69:AJ69"/>
    <mergeCell ref="E67:F67"/>
    <mergeCell ref="AF67:AJ67"/>
    <mergeCell ref="A70:AM70"/>
    <mergeCell ref="A71:AM71"/>
    <mergeCell ref="B12:E12"/>
    <mergeCell ref="Q12:AG12"/>
    <mergeCell ref="AJ12:AL12"/>
    <mergeCell ref="AJ13:AL14"/>
    <mergeCell ref="B14:E16"/>
    <mergeCell ref="Q16:AG18"/>
    <mergeCell ref="B17:E21"/>
    <mergeCell ref="Q20:AG21"/>
    <mergeCell ref="A28:D28"/>
    <mergeCell ref="E28:F28"/>
    <mergeCell ref="AF28:AJ28"/>
    <mergeCell ref="AJ20:AL21"/>
    <mergeCell ref="B22:E26"/>
    <mergeCell ref="AF22:AH23"/>
    <mergeCell ref="Q24:AG25"/>
    <mergeCell ref="AJ24:AL25"/>
    <mergeCell ref="Q13:AG15"/>
    <mergeCell ref="AJ16:AL17"/>
    <mergeCell ref="G8:AA8"/>
    <mergeCell ref="AF8:AG8"/>
    <mergeCell ref="AH8:AL8"/>
    <mergeCell ref="A9:AK9"/>
    <mergeCell ref="A10:AM10"/>
    <mergeCell ref="AH4:AJ4"/>
    <mergeCell ref="A5:C7"/>
    <mergeCell ref="D5:F5"/>
    <mergeCell ref="AH5:AJ5"/>
    <mergeCell ref="D6:F6"/>
    <mergeCell ref="AH6:AJ6"/>
    <mergeCell ref="D7:F7"/>
    <mergeCell ref="AH7:AJ7"/>
    <mergeCell ref="A8:C8"/>
    <mergeCell ref="D8:E8"/>
    <mergeCell ref="A1:AM1"/>
    <mergeCell ref="A2:C2"/>
    <mergeCell ref="D2:F2"/>
    <mergeCell ref="G2:AG7"/>
    <mergeCell ref="AH2:AL2"/>
    <mergeCell ref="A3:C3"/>
    <mergeCell ref="D3:F3"/>
    <mergeCell ref="AH3:AJ3"/>
    <mergeCell ref="A4:C4"/>
    <mergeCell ref="D4:F4"/>
    <mergeCell ref="A33:D36"/>
    <mergeCell ref="A37:D39"/>
    <mergeCell ref="A40:D43"/>
    <mergeCell ref="A44:D49"/>
    <mergeCell ref="E46:F46"/>
    <mergeCell ref="AF46:AJ46"/>
    <mergeCell ref="E47:F47"/>
    <mergeCell ref="AF47:AJ47"/>
    <mergeCell ref="E48:F48"/>
    <mergeCell ref="AF48:AJ48"/>
    <mergeCell ref="E34:F34"/>
    <mergeCell ref="AF34:AJ34"/>
    <mergeCell ref="A50:D55"/>
    <mergeCell ref="E52:F52"/>
    <mergeCell ref="E53:F53"/>
    <mergeCell ref="AF53:AJ53"/>
    <mergeCell ref="E54:F54"/>
    <mergeCell ref="AF54:AJ54"/>
    <mergeCell ref="E50:F50"/>
    <mergeCell ref="AF50:AJ50"/>
    <mergeCell ref="E56:F56"/>
    <mergeCell ref="AF56:AJ56"/>
    <mergeCell ref="E51:F51"/>
    <mergeCell ref="AF51:AJ51"/>
    <mergeCell ref="A56:D61"/>
    <mergeCell ref="E59:F59"/>
    <mergeCell ref="AF59:AJ59"/>
    <mergeCell ref="E60:F60"/>
    <mergeCell ref="AF60:AJ60"/>
    <mergeCell ref="E61:F61"/>
    <mergeCell ref="AF61:AJ61"/>
    <mergeCell ref="AF57:AJ57"/>
    <mergeCell ref="E58:F58"/>
    <mergeCell ref="AF58:AJ58"/>
    <mergeCell ref="E57:F57"/>
    <mergeCell ref="A62:D65"/>
    <mergeCell ref="E66:F66"/>
    <mergeCell ref="AF66:AJ66"/>
    <mergeCell ref="E65:F65"/>
    <mergeCell ref="AF65:AJ65"/>
    <mergeCell ref="E68:F68"/>
    <mergeCell ref="AF68:AJ68"/>
    <mergeCell ref="AF63:AJ63"/>
    <mergeCell ref="E63:F63"/>
    <mergeCell ref="E64:F64"/>
    <mergeCell ref="AF64:AJ64"/>
    <mergeCell ref="A66:D69"/>
    <mergeCell ref="E62:F62"/>
    <mergeCell ref="AF62:AJ62"/>
  </mergeCells>
  <conditionalFormatting sqref="R29:R32 V29:V32 Z29:Z32 AA29:AA46 J29:J69 N29:N69 AL29:AL69 R38:R39 V38:V39 Z38:Z39 R41:R43 V41:V43 Z41:Z43 Z45:Z46 R45:R49 V45:V49 Z47:AA48 Z49 AA49:AA52 Z51:Z52 R51:R55 V51:V55 Z53:AA54 Z55 AA55:AA69 R57:R61 V57:V61 Z57:Z61 R63:R65 V63:V65 Z63:Z65">
    <cfRule type="cellIs" dxfId="11" priority="73" stopIfTrue="1" operator="between">
      <formula>225</formula>
      <formula>625</formula>
    </cfRule>
    <cfRule type="cellIs" dxfId="10" priority="74" stopIfTrue="1" operator="between">
      <formula>125</formula>
      <formula>224</formula>
    </cfRule>
    <cfRule type="cellIs" dxfId="9" priority="75" stopIfTrue="1" operator="between">
      <formula>51</formula>
      <formula>124</formula>
    </cfRule>
    <cfRule type="cellIs" dxfId="8" priority="76" stopIfTrue="1" operator="between">
      <formula>1</formula>
      <formula>50</formula>
    </cfRule>
  </conditionalFormatting>
  <conditionalFormatting sqref="R34:R36 V34:V36 Z34:Z36">
    <cfRule type="cellIs" dxfId="7" priority="37" stopIfTrue="1" operator="between">
      <formula>225</formula>
      <formula>625</formula>
    </cfRule>
    <cfRule type="cellIs" dxfId="6" priority="38" stopIfTrue="1" operator="between">
      <formula>125</formula>
      <formula>224</formula>
    </cfRule>
    <cfRule type="cellIs" dxfId="5" priority="39" stopIfTrue="1" operator="between">
      <formula>51</formula>
      <formula>124</formula>
    </cfRule>
    <cfRule type="cellIs" dxfId="4" priority="40" stopIfTrue="1" operator="between">
      <formula>1</formula>
      <formula>50</formula>
    </cfRule>
  </conditionalFormatting>
  <conditionalFormatting sqref="R67:R69 V67:V69 Z67:Z69">
    <cfRule type="cellIs" dxfId="3" priority="1" stopIfTrue="1" operator="between">
      <formula>225</formula>
      <formula>625</formula>
    </cfRule>
    <cfRule type="cellIs" dxfId="2" priority="2" stopIfTrue="1" operator="between">
      <formula>125</formula>
      <formula>224</formula>
    </cfRule>
    <cfRule type="cellIs" dxfId="1" priority="3" stopIfTrue="1" operator="between">
      <formula>51</formula>
      <formula>124</formula>
    </cfRule>
    <cfRule type="cellIs" dxfId="0" priority="4" stopIfTrue="1" operator="between">
      <formula>1</formula>
      <formula>50</formula>
    </cfRule>
  </conditionalFormatting>
  <dataValidations disablePrompts="1" count="1">
    <dataValidation type="list" allowBlank="1" showInputMessage="1" showErrorMessage="1" sqref="L29:L69 G29:I69 Q29:Q69 AK29:AK69" xr:uid="{7B9D501A-A965-4325-8152-01998C0E7C84}">
      <formula1>"1,2,3,4,5"</formula1>
    </dataValidation>
  </dataValidations>
  <printOptions horizontalCentered="1"/>
  <pageMargins left="0.70866141732283505" right="0.70866141732283505" top="0.74803149606299202" bottom="0.74803149606299202" header="0.31496062992126" footer="0.31496062992126"/>
  <pageSetup scale="28" fitToHeight="2" orientation="landscape" r:id="rId1"/>
  <headerFooter>
    <oddFooter xml:space="preserve">&amp;L&amp;K00000016-HS80-8000-00031  Rev. I / 16-HS20-8000-00037&amp;RTiempo de retención: 1 año en el punto de Origen. Archivo muerto: No aplica   
  Medio de Registro Electrónico </oddFooter>
  </headerFooter>
  <rowBreaks count="1" manualBreakCount="1">
    <brk id="69" max="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CFAC-3B72-47E9-99AA-942FD7DCC7BD}">
  <dimension ref="A1:F17"/>
  <sheetViews>
    <sheetView tabSelected="1" view="pageBreakPreview" topLeftCell="B3" zoomScale="175" zoomScaleNormal="100" zoomScaleSheetLayoutView="175" zoomScalePageLayoutView="70" workbookViewId="0">
      <selection activeCell="D5" sqref="D5"/>
    </sheetView>
  </sheetViews>
  <sheetFormatPr defaultRowHeight="15"/>
  <cols>
    <col min="1" max="1" width="17.5703125" customWidth="1"/>
    <col min="2" max="2" width="17.140625" customWidth="1"/>
    <col min="3" max="3" width="16.85546875" customWidth="1"/>
    <col min="4" max="4" width="14.42578125" customWidth="1"/>
    <col min="5" max="5" width="16" customWidth="1"/>
    <col min="6" max="6" width="17.140625" customWidth="1"/>
  </cols>
  <sheetData>
    <row r="1" spans="1:6" ht="16.5" thickBot="1">
      <c r="A1" s="384" t="s">
        <v>104</v>
      </c>
      <c r="B1" s="384"/>
      <c r="C1" s="384"/>
      <c r="D1" s="384"/>
      <c r="E1" s="384"/>
      <c r="F1" s="384"/>
    </row>
    <row r="2" spans="1:6" ht="47.25" customHeight="1">
      <c r="A2" s="22" t="s">
        <v>105</v>
      </c>
      <c r="B2" s="22">
        <v>1</v>
      </c>
      <c r="C2" s="22">
        <v>2</v>
      </c>
      <c r="D2" s="22">
        <v>3</v>
      </c>
      <c r="E2" s="22">
        <v>4</v>
      </c>
      <c r="F2" s="22">
        <v>5</v>
      </c>
    </row>
    <row r="3" spans="1:6" ht="87" customHeight="1">
      <c r="A3" s="23" t="s">
        <v>106</v>
      </c>
      <c r="B3" s="24" t="s">
        <v>107</v>
      </c>
      <c r="C3" s="24" t="s">
        <v>108</v>
      </c>
      <c r="D3" s="24" t="s">
        <v>109</v>
      </c>
      <c r="E3" s="24" t="s">
        <v>110</v>
      </c>
      <c r="F3" s="24" t="s">
        <v>111</v>
      </c>
    </row>
    <row r="4" spans="1:6" ht="25.5">
      <c r="A4" s="25" t="s">
        <v>112</v>
      </c>
      <c r="B4" s="25" t="s">
        <v>113</v>
      </c>
      <c r="C4" s="25" t="s">
        <v>114</v>
      </c>
      <c r="D4" s="25" t="s">
        <v>115</v>
      </c>
      <c r="E4" s="25" t="s">
        <v>116</v>
      </c>
      <c r="F4" s="25" t="s">
        <v>117</v>
      </c>
    </row>
    <row r="5" spans="1:6" ht="171.75" customHeight="1">
      <c r="A5" s="23" t="s">
        <v>118</v>
      </c>
      <c r="B5" s="24" t="s">
        <v>119</v>
      </c>
      <c r="C5" s="24" t="s">
        <v>120</v>
      </c>
      <c r="D5" s="24" t="s">
        <v>121</v>
      </c>
      <c r="E5" s="24" t="s">
        <v>122</v>
      </c>
      <c r="F5" s="24" t="s">
        <v>123</v>
      </c>
    </row>
    <row r="6" spans="1:6" ht="25.5">
      <c r="A6" s="385" t="s">
        <v>124</v>
      </c>
      <c r="B6" s="387" t="s">
        <v>125</v>
      </c>
      <c r="C6" s="387" t="s">
        <v>126</v>
      </c>
      <c r="D6" s="387" t="s">
        <v>127</v>
      </c>
      <c r="E6" s="26" t="s">
        <v>128</v>
      </c>
      <c r="F6" s="387" t="s">
        <v>129</v>
      </c>
    </row>
    <row r="7" spans="1:6" ht="35.25" customHeight="1" thickBot="1">
      <c r="A7" s="386"/>
      <c r="B7" s="388"/>
      <c r="C7" s="388"/>
      <c r="D7" s="388"/>
      <c r="E7" s="27" t="s">
        <v>130</v>
      </c>
      <c r="F7" s="388"/>
    </row>
    <row r="9" spans="1:6">
      <c r="A9" s="382" t="s">
        <v>207</v>
      </c>
      <c r="B9" s="382"/>
      <c r="C9" s="382"/>
    </row>
    <row r="10" spans="1:6">
      <c r="A10" s="382" t="s">
        <v>208</v>
      </c>
      <c r="B10" s="382"/>
      <c r="C10" s="382"/>
    </row>
    <row r="11" spans="1:6">
      <c r="A11" s="382" t="s">
        <v>209</v>
      </c>
      <c r="B11" s="382"/>
      <c r="C11" s="382"/>
      <c r="D11" s="106"/>
    </row>
    <row r="12" spans="1:6" ht="21" customHeight="1">
      <c r="A12" s="383" t="s">
        <v>210</v>
      </c>
      <c r="B12" s="383"/>
      <c r="C12" s="383"/>
      <c r="D12" s="383"/>
    </row>
    <row r="13" spans="1:6" ht="24">
      <c r="A13" s="30" t="s">
        <v>131</v>
      </c>
      <c r="B13" s="107" t="s">
        <v>132</v>
      </c>
      <c r="C13" s="28" t="s">
        <v>133</v>
      </c>
      <c r="D13" s="29" t="s">
        <v>134</v>
      </c>
    </row>
    <row r="14" spans="1:6">
      <c r="A14" s="389" t="s">
        <v>211</v>
      </c>
      <c r="B14" s="390" t="s">
        <v>214</v>
      </c>
      <c r="C14" s="389" t="s">
        <v>212</v>
      </c>
      <c r="D14" s="389" t="s">
        <v>213</v>
      </c>
    </row>
    <row r="15" spans="1:6">
      <c r="A15" s="389"/>
      <c r="B15" s="390"/>
      <c r="C15" s="389"/>
      <c r="D15" s="389"/>
    </row>
    <row r="16" spans="1:6">
      <c r="A16" s="389"/>
      <c r="B16" s="390"/>
      <c r="C16" s="389"/>
      <c r="D16" s="389"/>
    </row>
    <row r="17" spans="1:4">
      <c r="A17" s="389"/>
      <c r="B17" s="390"/>
      <c r="C17" s="389"/>
      <c r="D17" s="389"/>
    </row>
  </sheetData>
  <mergeCells count="14">
    <mergeCell ref="A14:A17"/>
    <mergeCell ref="B14:B17"/>
    <mergeCell ref="C14:C17"/>
    <mergeCell ref="D14:D17"/>
    <mergeCell ref="A11:C11"/>
    <mergeCell ref="A9:C9"/>
    <mergeCell ref="A10:C10"/>
    <mergeCell ref="A12:D12"/>
    <mergeCell ref="A1:F1"/>
    <mergeCell ref="A6:A7"/>
    <mergeCell ref="B6:B7"/>
    <mergeCell ref="C6:C7"/>
    <mergeCell ref="D6:D7"/>
    <mergeCell ref="F6:F7"/>
  </mergeCells>
  <pageMargins left="0.7" right="0.7" top="0.75" bottom="0.75" header="0.3" footer="0.3"/>
  <pageSetup scale="91" orientation="portrait" r:id="rId1"/>
  <headerFooter>
    <oddFooter xml:space="preserve">&amp;L&amp;8 16-HS80-8000-00031 Rev. I / 16-HS20-8000-00037&amp;R&amp;8Tiempo de retención: 1 año en el punto de Origen. Archivo muerto: No aplica   
  Medio de Registro Electrónico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Permiso de RA Extraordinario</vt:lpstr>
      <vt:lpstr>RA Extraordinario Ejemplo</vt:lpstr>
      <vt:lpstr>Matriz De Puntuación De Riesgo</vt:lpstr>
      <vt:lpstr>'Matriz De Puntuación De Riesgo'!Print_Area</vt:lpstr>
      <vt:lpstr>'Permiso de RA Extraordinario'!Print_Area</vt:lpstr>
      <vt:lpstr>'RA Extraordinario Ejemplo'!Print_Area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VAZQUEZ1</dc:creator>
  <cp:keywords/>
  <dc:description/>
  <cp:lastModifiedBy>svccor_jdoc</cp:lastModifiedBy>
  <cp:revision/>
  <cp:lastPrinted>2025-02-20T19:06:58Z</cp:lastPrinted>
  <dcterms:created xsi:type="dcterms:W3CDTF">2020-02-10T15:24:08Z</dcterms:created>
  <dcterms:modified xsi:type="dcterms:W3CDTF">2025-08-14T22:27:41Z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DOC_STAT">
    <vt:lpwstr>RELEASED</vt:lpwstr>
  </property>
  <property fmtid="{D5CDD505-2E9C-101B-9397-08002B2CF9AE}" pid="3" name="JDOC_NUM">
    <vt:lpwstr>16-HS80-8000-00031</vt:lpwstr>
  </property>
  <property fmtid="{D5CDD505-2E9C-101B-9397-08002B2CF9AE}" pid="4" name="JDOC_REV">
    <vt:lpwstr>I</vt:lpwstr>
  </property>
  <property fmtid="{D5CDD505-2E9C-101B-9397-08002B2CF9AE}" pid="5" name="JDOC_TITLE">
    <vt:lpwstr>PERMISO DE  ANALISIS DE RIESGO EXTRAORDI</vt:lpwstr>
  </property>
  <property fmtid="{D5CDD505-2E9C-101B-9397-08002B2CF9AE}" pid="6" name="JDOC_NOTES">
    <vt:lpwstr>20250725-140741-3327218-NOTES Se agrega punto de revisión despues de haber realizado las actividades del análisis de riesgos por incidente con condiciones     </vt:lpwstr>
  </property>
  <property fmtid="{D5CDD505-2E9C-101B-9397-08002B2CF9AE}" pid="7" name="JDOC_AUTHID">
    <vt:lpwstr>3327218</vt:lpwstr>
  </property>
  <property fmtid="{D5CDD505-2E9C-101B-9397-08002B2CF9AE}" pid="8" name="JDOC_AUTHNAME">
    <vt:lpwstr>Maria,Tarango</vt:lpwstr>
  </property>
  <property fmtid="{D5CDD505-2E9C-101B-9397-08002B2CF9AE}" pid="9" name="JDOC_OWNID">
    <vt:lpwstr>3926971</vt:lpwstr>
  </property>
  <property fmtid="{D5CDD505-2E9C-101B-9397-08002B2CF9AE}" pid="10" name="JDOC_OWNNAME">
    <vt:lpwstr>Lorena,Ortega</vt:lpwstr>
  </property>
  <property fmtid="{D5CDD505-2E9C-101B-9397-08002B2CF9AE}" pid="11" name="JDOC_FUNC">
    <vt:lpwstr/>
  </property>
  <property fmtid="{D5CDD505-2E9C-101B-9397-08002B2CF9AE}" pid="12" name="JDOC_CR_DT">
    <vt:lpwstr>25 JUL 2025</vt:lpwstr>
  </property>
  <property fmtid="{D5CDD505-2E9C-101B-9397-08002B2CF9AE}" pid="13" name="JDOC_RL_DT">
    <vt:lpwstr>14 AUG 2025</vt:lpwstr>
  </property>
  <property fmtid="{D5CDD505-2E9C-101B-9397-08002B2CF9AE}" pid="14" name="JDOC_EF_DT">
    <vt:lpwstr>14 AUG 2025</vt:lpwstr>
  </property>
  <property fmtid="{D5CDD505-2E9C-101B-9397-08002B2CF9AE}" pid="15" name="JDOC_EX_DT">
    <vt:lpwstr>14 AUG 2025</vt:lpwstr>
  </property>
  <property fmtid="{D5CDD505-2E9C-101B-9397-08002B2CF9AE}" pid="16" name="JDOC_RV_DT">
    <vt:lpwstr>14 AUG 2025</vt:lpwstr>
  </property>
  <property fmtid="{D5CDD505-2E9C-101B-9397-08002B2CF9AE}" pid="17" name="JDOC_CUST">
    <vt:lpwstr>ALL PLANT</vt:lpwstr>
  </property>
  <property fmtid="{D5CDD505-2E9C-101B-9397-08002B2CF9AE}" pid="18" name="JDOC_WKCL">
    <vt:lpwstr/>
  </property>
  <property fmtid="{D5CDD505-2E9C-101B-9397-08002B2CF9AE}" pid="19" name="JDOC_FIELD01">
    <vt:lpwstr/>
  </property>
  <property fmtid="{D5CDD505-2E9C-101B-9397-08002B2CF9AE}" pid="20" name="JDOC_FIELD02">
    <vt:lpwstr/>
  </property>
  <property fmtid="{D5CDD505-2E9C-101B-9397-08002B2CF9AE}" pid="21" name="JDOC_FIELD03">
    <vt:lpwstr/>
  </property>
  <property fmtid="{D5CDD505-2E9C-101B-9397-08002B2CF9AE}" pid="22" name="JDOC_FIELD04">
    <vt:lpwstr/>
  </property>
  <property fmtid="{D5CDD505-2E9C-101B-9397-08002B2CF9AE}" pid="23" name="JDOC_FIELD05">
    <vt:lpwstr/>
  </property>
  <property fmtid="{D5CDD505-2E9C-101B-9397-08002B2CF9AE}" pid="24" name="JDOC_FIELD06">
    <vt:lpwstr/>
  </property>
  <property fmtid="{D5CDD505-2E9C-101B-9397-08002B2CF9AE}" pid="25" name="JDOC_FIELD07">
    <vt:lpwstr/>
  </property>
  <property fmtid="{D5CDD505-2E9C-101B-9397-08002B2CF9AE}" pid="26" name="JDOC_FIELD08">
    <vt:lpwstr/>
  </property>
  <property fmtid="{D5CDD505-2E9C-101B-9397-08002B2CF9AE}" pid="27" name="JDOC_FIELD09">
    <vt:lpwstr/>
  </property>
  <property fmtid="{D5CDD505-2E9C-101B-9397-08002B2CF9AE}" pid="28" name="JDOC_FIELD10">
    <vt:lpwstr/>
  </property>
</Properties>
</file>