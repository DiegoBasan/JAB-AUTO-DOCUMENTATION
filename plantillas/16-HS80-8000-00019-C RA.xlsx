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WorkPackages\PRD - 010\0E7E3A2646331FE182EF7606C92B36FC\in\"/>
    </mc:Choice>
  </mc:AlternateContent>
  <xr:revisionPtr revIDLastSave="0" documentId="8_{F924BB51-F1F4-4822-8AF0-B100ABEC18A9}" xr6:coauthVersionLast="47" xr6:coauthVersionMax="47" xr10:uidLastSave="{00000000-0000-0000-0000-000000000000}"/>
  <bookViews>
    <workbookView minimized="1" xWindow="540" yWindow="480" windowWidth="18195" windowHeight="14145" xr2:uid="{00000000-000D-0000-FFFF-FFFF00000000}"/>
  </bookViews>
  <sheets>
    <sheet name="RA Form" sheetId="1" r:id="rId1"/>
    <sheet name="Sheet1" sheetId="2" state="hidden" r:id="rId2"/>
    <sheet name="Action Tracker" sheetId="21" r:id="rId3"/>
    <sheet name="Tablas Guia" sheetId="3" r:id="rId4"/>
    <sheet name="Tablas EPP" sheetId="4" state="hidden" r:id="rId5"/>
    <sheet name="Tabla Guia de Peligros" sheetId="5" r:id="rId6"/>
    <sheet name="example Hazards &amp;aspects" sheetId="6" state="hidden" r:id="rId7"/>
    <sheet name="example consequences &amp; impacts" sheetId="7" state="hidden" r:id="rId8"/>
    <sheet name="Example ASPECTs" sheetId="8" state="hidden" r:id="rId9"/>
    <sheet name="DD - Parts of the Body" sheetId="9" state="hidden" r:id="rId10"/>
    <sheet name="DD - PPE" sheetId="10" state="hidden" r:id="rId11"/>
    <sheet name="DD - CONTROLS" sheetId="11" state="hidden" r:id="rId12"/>
    <sheet name="INSTRUCTIONS" sheetId="12" state="hidden" r:id="rId13"/>
    <sheet name="Listas_Riesgos" sheetId="13" state="hidden" r:id="rId14"/>
    <sheet name="Listas_Controles" sheetId="14" state="hidden" r:id="rId15"/>
    <sheet name="Map_Controles" sheetId="15" state="hidden" r:id="rId16"/>
    <sheet name="Listas_EPP" sheetId="16" state="hidden" r:id="rId17"/>
    <sheet name="Map_EPP" sheetId="17" state="hidden" r:id="rId18"/>
    <sheet name="Listas_Consecuencias" sheetId="18" state="hidden" r:id="rId19"/>
    <sheet name="Map_Consecuencias" sheetId="19" state="hidden" r:id="rId20"/>
    <sheet name="Map_Riesgos" sheetId="20" state="hidden" r:id="rId21"/>
  </sheets>
  <definedNames>
    <definedName name="_xlnm._FilterDatabase" localSheetId="5" hidden="1">'Tabla Guia de Peligros'!$A$1:$F$88</definedName>
    <definedName name="Abrasion_friccion">Listas_Consecuencias!$A$2:$A$5</definedName>
    <definedName name="Abrasion_friccion_ctrl">Listas_Controles!$A$2:$A$4</definedName>
    <definedName name="Abrasion_friccion_epp">Listas_EPP!$A$2:$A$4</definedName>
    <definedName name="Actividad_de_terceros">Listas_Consecuencias!$B$2:$B$5</definedName>
    <definedName name="Actividad_de_terceros_ctrl">Listas_Controles!$B$2:$B$4</definedName>
    <definedName name="Actividad_de_terceros_epp">Listas_EPP!$B$2:$B$4</definedName>
    <definedName name="Actividades_de_trabajo">Listas_Riesgos!$A$2:$A$6</definedName>
    <definedName name="Agarre_deficiente">Listas_Consecuencias!$C$2:$C$5</definedName>
    <definedName name="Agarre_deficiente_ctrl">Listas_Controles!$C$2:$C$2</definedName>
    <definedName name="Agarre_deficiente_epp">Listas_EPP!$C$2:$C$4</definedName>
    <definedName name="Ahogamiento">Listas_Consecuencias!$D$2:$D$5</definedName>
    <definedName name="Ahogamiento_ctrl">Listas_Controles!$D$2:$D$4</definedName>
    <definedName name="Ahogamiento_epp">Listas_EPP!$D$2:$D$4</definedName>
    <definedName name="Allanamiento">Listas_Consecuencias!$E$2:$E$5</definedName>
    <definedName name="Allanamiento_ctrl">Listas_Controles!$E$2:$E$3</definedName>
    <definedName name="Allanamiento_epp">Listas_EPP!$E$2:$E$3</definedName>
    <definedName name="Alta_o_baja_presion">Listas_Consecuencias!$F$2:$F$5</definedName>
    <definedName name="Alta_o_baja_presion_ctrl">Listas_Controles!$F$2:$F$4</definedName>
    <definedName name="Alta_o_baja_presion_epp">Listas_EPP!$F$2:$F$4</definedName>
    <definedName name="Animales_plantas">Listas_Consecuencias!$G$2:$G$5</definedName>
    <definedName name="Animales_plantas_ctrl">Listas_Controles!$G$2:$G$3</definedName>
    <definedName name="Animales_plantas_epp">Listas_EPP!$G$2:$G$4</definedName>
    <definedName name="Aplastamiento">Listas_Consecuencias!$H$2:$H$5</definedName>
    <definedName name="Aplastamiento_ctrl">Listas_Controles!$H$2:$H$5</definedName>
    <definedName name="Aplastamiento_epp">Listas_EPP!$H$2:$H$4</definedName>
    <definedName name="Arco_electrico">Listas_Consecuencias!$I$2:$I$5</definedName>
    <definedName name="Arco_electrico_ctrl">Listas_Controles!$I$2:$I$3</definedName>
    <definedName name="Arco_electrico_epp">Listas_EPP!$I$2:$I$5</definedName>
    <definedName name="Arrodillarse">Listas_Consecuencias!$J$2:$J$5</definedName>
    <definedName name="Arrodillarse_ctrl">Listas_Controles!$J$2:$J$3</definedName>
    <definedName name="Arrodillarse_epp">Listas_EPP!$J$2:$J$4</definedName>
    <definedName name="Asbesto">Listas_Consecuencias!$K$2:$K$5</definedName>
    <definedName name="Asbesto_ctrl">Listas_Controles!$K$2:$K$3</definedName>
    <definedName name="Asbesto_epp">Listas_EPP!$K$2:$K$5</definedName>
    <definedName name="Atrapamiento">Listas_Consecuencias!$L$2:$L$5</definedName>
    <definedName name="Atrapamiento_ctrl">Listas_Controles!$L$2:$L$5</definedName>
    <definedName name="Atrapamiento_epp">Listas_EPP!$L$2:$L$4</definedName>
    <definedName name="Bordes_afilados">Listas_Consecuencias!$M$2:$M$5</definedName>
    <definedName name="Bordes_afilados_ctrl">Listas_Controles!$M$2:$M$5</definedName>
    <definedName name="Bordes_afilados_epp">Listas_EPP!$M$2:$M$4</definedName>
    <definedName name="Caida_a_nivel">Listas_Consecuencias!$U$2:$U$5</definedName>
    <definedName name="Caida_a_nivel_ctrl">Listas_Controles!$U$2:$U$4</definedName>
    <definedName name="Caida_a_nivel_epp">Listas_EPP!$U$2:$U$4</definedName>
    <definedName name="Caidas_de_altura">Listas_Consecuencias!$V$2:$V$5</definedName>
    <definedName name="Caidas_de_altura_ctrl">Listas_Controles!$V$2:$V$5</definedName>
    <definedName name="Caidas_de_altura_epp">Listas_EPP!$V$2:$V$5</definedName>
    <definedName name="Calidad_del_aire">Listas_Consecuencias!$N$2:$N$5</definedName>
    <definedName name="Calidad_del_aire_ctrl">Listas_Controles!$N$2:$N$4</definedName>
    <definedName name="Calidad_del_aire_epp">Listas_EPP!$N$2:$N$4</definedName>
    <definedName name="Calor_excesivo">Listas_Consecuencias!$O$2:$O$5</definedName>
    <definedName name="Calor_excesivo_ctrl">Listas_Controles!$O$2:$O$4</definedName>
    <definedName name="Calor_excesivo_epp">Listas_EPP!$O$2:$O$5</definedName>
    <definedName name="Campos_electromagneticos">Listas_Consecuencias!$P$2:$P$5</definedName>
    <definedName name="Campos_electromagneticos_ctrl">Listas_Controles!$P$2:$P$3</definedName>
    <definedName name="Campos_electromagneticos_epp">Listas_EPP!$P$2:$P$3</definedName>
    <definedName name="Carga_electrostatica">Listas_Consecuencias!$Q$2:$Q$5</definedName>
    <definedName name="Carga_electrostatica_ctrl">Listas_Controles!$Q$2:$Q$3</definedName>
    <definedName name="Carga_electrostatica_epp">Listas_EPP!$Q$2:$Q$4</definedName>
    <definedName name="Carga_suspendida">Listas_Consecuencias!$R$2:$R$5</definedName>
    <definedName name="Carga_suspendida_ctrl">Listas_Controles!$R$2:$R$5</definedName>
    <definedName name="Carga_suspendida_epp">Listas_EPP!$R$2:$R$5</definedName>
    <definedName name="Cargas_en_movimiento">Listas_Consecuencias!$S$2:$S$5</definedName>
    <definedName name="Cargas_en_movimiento_ctrl">Listas_Controles!$S$2:$S$5</definedName>
    <definedName name="Cargas_en_movimiento_epp">Listas_EPP!$S$2:$S$5</definedName>
    <definedName name="Cargas_inestables">Listas_Consecuencias!$T$2:$T$5</definedName>
    <definedName name="Cargas_inestables_ctrl">Listas_Controles!$T$2:$T$4</definedName>
    <definedName name="Cargas_inestables_epp">Listas_EPP!$T$2:$T$5</definedName>
    <definedName name="Clima_extremo">Listas_Consecuencias!$W$2:$W$5</definedName>
    <definedName name="Clima_extremo_ctrl">Listas_Controles!$W$2:$W$3</definedName>
    <definedName name="Clima_extremo_epp">Listas_EPP!$W$2:$W$4</definedName>
    <definedName name="Condicion">Listas_Riesgos!#REF!</definedName>
    <definedName name="Conducir">Listas_Consecuencias!$X$2:$X$5</definedName>
    <definedName name="Conducir_ctrl">Listas_Controles!$X$2:$X$3</definedName>
    <definedName name="Conducir_epp">Listas_EPP!$X$2:$X$4</definedName>
    <definedName name="Conductores_danados">Listas_Consecuencias!$Y$2:$Y$5</definedName>
    <definedName name="Conductores_danados_ctrl">Listas_Controles!$Y$2:$Y$3</definedName>
    <definedName name="Conductores_danados_epp">Listas_EPP!$Y$2:$Y$5</definedName>
    <definedName name="Conductores_energizados">Listas_Consecuencias!$Z$2:$Z$5</definedName>
    <definedName name="Conductores_energizados_ctrl">Listas_Controles!$Z$2:$Z$4</definedName>
    <definedName name="Conductores_energizados_epp">Listas_EPP!$Z$2:$Z$5</definedName>
    <definedName name="Contratistas">Listas_Consecuencias!$AA$2:$AA$5</definedName>
    <definedName name="Contratistas_ctrl">Listas_Controles!$AA$2:$AA$3</definedName>
    <definedName name="Contratistas_epp">Listas_EPP!$AA$2:$AA$4</definedName>
    <definedName name="Corporal">Listas_Riesgos!$B$2:$B$8</definedName>
    <definedName name="Corrosivos">Listas_Consecuencias!$AB$2:$AB$5</definedName>
    <definedName name="Corrosivos_ctrl">Listas_Controles!$AB$2:$AB$3</definedName>
    <definedName name="Corrosivos_epp">Listas_EPP!$AB$2:$AB$4</definedName>
    <definedName name="Cuchillas_puntas">Listas_Consecuencias!$AC$2:$AC$5</definedName>
    <definedName name="Cuchillas_puntas_ctrl">Listas_Controles!$AC$2:$AC$3</definedName>
    <definedName name="Cuchillas_puntas_epp">Listas_EPP!$AC$2:$AC$4</definedName>
    <definedName name="Dano_a_propiedad">Listas_Consecuencias!$AD$2:$AD$5</definedName>
    <definedName name="Dano_a_propiedad_ctrl">Listas_Controles!$AD$2:$AD$3</definedName>
    <definedName name="Dano_a_propiedad_epp">Listas_EPP!$AD$2:$AD$3</definedName>
    <definedName name="Electrico">Listas_Riesgos!$C$2:$C$5</definedName>
    <definedName name="Emergencia">Listas_Riesgos!#REF!</definedName>
    <definedName name="Empuje_jalon">Listas_Consecuencias!$AE$2:$AE$5</definedName>
    <definedName name="Empuje_jalon_ctrl">Listas_Controles!$AE$2:$AE$3</definedName>
    <definedName name="Empuje_jalon_epp">Listas_EPP!$AE$2:$AE$4</definedName>
    <definedName name="Env_or_H_S">Listas_Consecuencias!$AF$2:$AF$2</definedName>
    <definedName name="Env_or_H_S_ctrl">Listas_Controles!$AF$2:$AF$2</definedName>
    <definedName name="Env_or_H_S_epp">Listas_EPP!$AF$2:$AF$2</definedName>
    <definedName name="Ergonomia">Listas_Riesgos!$B$2:$B$10</definedName>
    <definedName name="Espacio_confinado">Listas_Consecuencias!$AF$2:$AF$5</definedName>
    <definedName name="Espacio_confinado_ctrl">Listas_Controles!$AG$2:$AG$4</definedName>
    <definedName name="Espacio_confinado_epp">Listas_EPP!$AG$2:$AG$4</definedName>
    <definedName name="Explosivos">Listas_Consecuencias!$AG$2:$AG$5</definedName>
    <definedName name="Explosivos_ctrl">Listas_Controles!$AH$2:$AH$3</definedName>
    <definedName name="Explosivos_epp">Listas_EPP!$AH$2:$AH$5</definedName>
    <definedName name="Eyeccion_de_material">Listas_Consecuencias!$AH$2:$AH$5</definedName>
    <definedName name="Eyeccion_de_material_ctrl">Listas_Controles!$AI$2:$AI$4</definedName>
    <definedName name="Eyeccion_de_material_epp">Listas_EPP!$AI$2:$AI$4</definedName>
    <definedName name="Falta_de_familiaridad">Listas_Consecuencias!$AI$2:$AI$5</definedName>
    <definedName name="Falta_de_familiaridad_ctrl">Listas_Controles!$AJ$2:$AJ$3</definedName>
    <definedName name="Falta_de_familiaridad_epp">Listas_EPP!$AJ$2:$AJ$4</definedName>
    <definedName name="Fatiga">Listas_Consecuencias!$AJ$2:$AJ$5</definedName>
    <definedName name="Fatiga_ctrl">Listas_Controles!$AK$2:$AK$3</definedName>
    <definedName name="Fatiga_epp">Listas_EPP!$AK$2:$AK$4</definedName>
    <definedName name="Frio_extremo">Listas_Consecuencias!$AK$2:$AK$5</definedName>
    <definedName name="Frio_extremo_ctrl">Listas_Controles!$AL$2:$AL$4</definedName>
    <definedName name="Frio_extremo_epp">Listas_EPP!$AL$2:$AL$3</definedName>
    <definedName name="Fuego">Listas_Consecuencias!$AL$2:$AL$5</definedName>
    <definedName name="Fuego_ctrl">Listas_Controles!$AM$2:$AM$4</definedName>
    <definedName name="Fuego_epp">Listas_EPP!$AM$2:$AM$4</definedName>
    <definedName name="Gases_toxicos">Listas_Consecuencias!$AM$2:$AM$5</definedName>
    <definedName name="Gases_toxicos_ctrl">Listas_Controles!$AN$2:$AN$4</definedName>
    <definedName name="Gases_toxicos_epp">Listas_EPP!$AN$2:$AN$4</definedName>
    <definedName name="Golpes_con_objetos">Listas_Consecuencias!$AN$2:$AN$5</definedName>
    <definedName name="Golpes_con_objetos_ctrl">Listas_Controles!$AO$2:$AO$3</definedName>
    <definedName name="Golpes_con_objetos_epp">Listas_EPP!$AO$2:$AO$4</definedName>
    <definedName name="Hazard">#REF!</definedName>
    <definedName name="Herramientas">Listas_Riesgos!$D$2:$D$8</definedName>
    <definedName name="Herramientas_Ergonomia">Listas_Riesgos!$D$2:$D$8</definedName>
    <definedName name="Herramientas_manuales">Listas_Consecuencias!$AO$2:$AO$5</definedName>
    <definedName name="Herramientas_manuales_ctrl">Listas_Controles!$AP$2:$AP$3</definedName>
    <definedName name="Herramientas_manuales_epp">Listas_EPP!$AP$2:$AP$5</definedName>
    <definedName name="Humedad">Listas_Consecuencias!$AP$2:$AP$5</definedName>
    <definedName name="Humedad_ctrl">Listas_Controles!$AQ$2:$AQ$3</definedName>
    <definedName name="Humedad_epp">Listas_EPP!$AQ$2:$AQ$5</definedName>
    <definedName name="Ignicion_accidental">Listas_Consecuencias!$AQ$2:$AQ$5</definedName>
    <definedName name="Ignicion_accidental_ctrl">Listas_Controles!$AR$2:$AR$3</definedName>
    <definedName name="Ignicion_accidental_epp">Listas_EPP!$AR$2:$AR$5</definedName>
    <definedName name="Inflamables">Listas_Consecuencias!$AR$2:$AR$5</definedName>
    <definedName name="Inflamables_ctrl">Listas_Controles!$AS$2:$AS$3</definedName>
    <definedName name="Inflamables_epp">Listas_EPP!$AS$2:$AS$4</definedName>
    <definedName name="Inyeccion_por_presion">Listas_Consecuencias!$AS$2:$AS$5</definedName>
    <definedName name="Inyeccion_por_presion_ctrl">Listas_Controles!$AT$2:$AT$4</definedName>
    <definedName name="Inyeccion_por_presion_epp">Listas_EPP!$AT$2:$AT$4</definedName>
    <definedName name="Irritantes">Listas_Consecuencias!$AT$2:$AT$5</definedName>
    <definedName name="Irritantes_ctrl">Listas_Controles!$AU$2:$AU$3</definedName>
    <definedName name="Irritantes_epp">Listas_EPP!$AU$2:$AU$4</definedName>
    <definedName name="Levantamiento_manual">Listas_Consecuencias!$AU$2:$AU$5</definedName>
    <definedName name="Levantamiento_manual_ctrl">Listas_Controles!$AV$2:$AV$3</definedName>
    <definedName name="Levantamiento_manual_epp">Listas_EPP!$AV$2:$AV$4</definedName>
    <definedName name="Liberacion_de_energia">Listas_Consecuencias!$AV$2:$AV$5</definedName>
    <definedName name="Liberacion_de_energia_ctrl">Listas_Controles!$AW$2:$AW$4</definedName>
    <definedName name="Liberacion_de_energia_epp">Listas_EPP!$AW$2:$AW$4</definedName>
    <definedName name="Liquidos_toxicos">Listas_Consecuencias!$AX$2:$AX$5</definedName>
    <definedName name="Liquidos_toxicos_ctrl">Listas_Controles!$AY$2:$AY$3</definedName>
    <definedName name="Liquidos_toxicos_epp">Listas_EPP!$AY$2:$AY$4</definedName>
    <definedName name="ListaCategoriasRiesgo">Listas_Riesgos!$A$2001:$A$2009</definedName>
    <definedName name="Lugar_de_trabajo">Listas_Riesgos!$E$2:$E$27</definedName>
    <definedName name="Luz_excesiva">Listas_Consecuencias!$AW$2:$AW$5</definedName>
    <definedName name="Luz_excesiva_ctrl">Listas_Controles!$AX$2:$AX$3</definedName>
    <definedName name="Luz_excesiva_epp">Listas_EPP!$AX$2:$AX$4</definedName>
    <definedName name="Mala_organizacion">Listas_Consecuencias!$AY$2:$AY$5</definedName>
    <definedName name="Mala_organizacion_ctrl">Listas_Controles!$AZ$2:$AZ$3</definedName>
    <definedName name="Mala_organizacion_epp">Listas_EPP!$AZ$2:$AZ$4</definedName>
    <definedName name="Mala_postura">Listas_Consecuencias!$AZ$2:$AZ$5</definedName>
    <definedName name="Mala_postura_ctrl">Listas_Controles!$BA$2:$BA$3</definedName>
    <definedName name="Mala_postura_epp">Listas_EPP!$BA$2:$BA$4</definedName>
    <definedName name="Material_combustible">Listas_Consecuencias!$BA$2:$BA$5</definedName>
    <definedName name="Material_combustible_ctrl">Listas_Controles!$BB$2:$BB$4</definedName>
    <definedName name="Material_combustible_epp">Listas_EPP!$BB$2:$BB$4</definedName>
    <definedName name="Materiales_suspendidos">Listas_Consecuencias!$BB$2:$BB$5</definedName>
    <definedName name="Materiales_suspendidos_ctrl">Listas_Controles!$BC$2:$BC$4</definedName>
    <definedName name="Materiales_suspendidos_epp">Listas_EPP!$BC$2:$BC$5</definedName>
    <definedName name="Mecanico">Listas_Riesgos!$F$2:$F$19</definedName>
    <definedName name="Medio_Ambiente">Listas_Consecuencias!$BD$2:$BD$2</definedName>
    <definedName name="Medio_Ambiente_ctrl">Listas_Controles!$BD$2:$BD$2</definedName>
    <definedName name="Movimientos_repetitivos">Listas_Consecuencias!$BC$2:$BC$5</definedName>
    <definedName name="Movimientos_repetitivos_ctrl">Listas_Controles!$BE$2:$BE$3</definedName>
    <definedName name="Movimientos_repetitivos_epp">Listas_EPP!$BD$2:$BD$4</definedName>
    <definedName name="No_rutinario">Listas_Riesgos!#REF!</definedName>
    <definedName name="Objetos_que_caen">Listas_Consecuencias!$BD$2:$BD$5</definedName>
    <definedName name="Objetos_que_caen_ctrl">Listas_Controles!$BF$2:$BF$3</definedName>
    <definedName name="Objetos_que_caen_epp">Listas_EPP!$BE$2:$BE$5</definedName>
    <definedName name="Obstrucciones">Listas_Consecuencias!$BE$2:$BE$5</definedName>
    <definedName name="Obstrucciones_ctrl">Listas_Controles!$BG$2:$BG$3</definedName>
    <definedName name="Obstrucciones_epp">Listas_EPP!$BF$2:$BF$5</definedName>
    <definedName name="OLE_LINK13" localSheetId="3">'Tablas Guia'!$H$14</definedName>
    <definedName name="Oxidantes">Listas_Consecuencias!$BF$2:$BF$5</definedName>
    <definedName name="Oxidantes_ctrl">Listas_Controles!$BH$2:$BH$3</definedName>
    <definedName name="Oxidantes_epp">Listas_EPP!$BG$2:$BG$4</definedName>
    <definedName name="Pandemia">Listas_Consecuencias!$BG$2:$BG$5</definedName>
    <definedName name="Pandemia_ctrl">Listas_Controles!$BI$2:$BI$4</definedName>
    <definedName name="Pandemia_epp">Listas_EPP!$BH$2:$BH$5</definedName>
    <definedName name="Partes_moviles">Listas_Consecuencias!$BH$2:$BH$5</definedName>
    <definedName name="Partes_moviles_ctrl">Listas_Controles!$BJ$2:$BJ$4</definedName>
    <definedName name="Partes_moviles_epp">Listas_EPP!$BI$2:$BI$4</definedName>
    <definedName name="Particulas_expulsadas">Listas_Consecuencias!$BI$2:$BI$5</definedName>
    <definedName name="Particulas_expulsadas_ctrl">Listas_Controles!$BK$2:$BK$3</definedName>
    <definedName name="Particulas_expulsadas_epp">Listas_EPP!$BJ$2:$BJ$4</definedName>
    <definedName name="partsofbody">'DD - Parts of the Body'!$A$1:$A$19</definedName>
    <definedName name="Patogenos">Listas_Consecuencias!$BJ$2:$BJ$5</definedName>
    <definedName name="Patogenos_ctrl">Listas_Controles!$BL$2:$BL$4</definedName>
    <definedName name="Patogenos_epp">Listas_EPP!$BK$2:$BK$5</definedName>
    <definedName name="Poca_iluminacion">Listas_Consecuencias!$BK$2:$BK$5</definedName>
    <definedName name="Poca_iluminacion_ctrl">Listas_Controles!$BM$2:$BM$3</definedName>
    <definedName name="Poca_iluminacion_epp">Listas_EPP!$BL$2:$BL$4</definedName>
    <definedName name="Polvos_toxicos">Listas_Consecuencias!$BL$2:$BL$5</definedName>
    <definedName name="Polvos_toxicos_ctrl">Listas_Controles!$BN$2:$BN$3</definedName>
    <definedName name="Polvos_toxicos_epp">Listas_EPP!$BM$2:$BM$4</definedName>
    <definedName name="Postura_prolongada">Listas_Consecuencias!$BM$2:$BM$5</definedName>
    <definedName name="Postura_prolongada_ctrl">Listas_Controles!$BO$2:$BO$2</definedName>
    <definedName name="Postura_prolongada_epp">Listas_EPP!$BN$2:$BN$4</definedName>
    <definedName name="PPE">'DD - PPE'!$C$3:$C$46</definedName>
    <definedName name="Presion_laboral">Listas_Consecuencias!$BN$2:$BN$5</definedName>
    <definedName name="Presion_laboral_ctrl">Listas_Controles!$BP$2:$BP$3</definedName>
    <definedName name="Presion_laboral_epp">Listas_EPP!$BO$2:$BO$4</definedName>
    <definedName name="Prueba_de_producto">Listas_Consecuencias!$BO$2:$BO$5</definedName>
    <definedName name="Prueba_de_producto_ctrl">Listas_Controles!$BQ$2:$BQ$3</definedName>
    <definedName name="Prueba_de_producto_epp">Listas_EPP!$BP$2:$BP$4</definedName>
    <definedName name="Psicosocial">Listas_Riesgos!$G$2:$G$6</definedName>
    <definedName name="Quimicos">Listas_Riesgos!$H$2:$H$11</definedName>
    <definedName name="Radiacion">Listas_Consecuencias!$BP$2:$BP$5</definedName>
    <definedName name="Radiacion_ctrl">Listas_Controles!$BR$2:$BR$3</definedName>
    <definedName name="Radiacion_epp">Listas_EPP!$BQ$2:$BQ$4</definedName>
    <definedName name="Radiacion_ionizante">Listas_Consecuencias!$BQ$2:$BQ$5</definedName>
    <definedName name="Radiacion_ionizante_ctrl">Listas_Controles!$BS$2:$BS$4</definedName>
    <definedName name="Radiacion_ionizante_epp">Listas_EPP!$BR$2:$BR$4</definedName>
    <definedName name="Radiacion_no_ionizante">Listas_Consecuencias!$BR$2:$BR$5</definedName>
    <definedName name="Radiacion_no_ionizante_ctrl">Listas_Controles!$BT$2:$BT$4</definedName>
    <definedName name="Radiacion_no_ionizante_epp">Listas_EPP!$BS$2:$BS$4</definedName>
    <definedName name="Resbalones">Listas_Consecuencias!$BS$2:$BS$5</definedName>
    <definedName name="Resbalones_ctrl">Listas_Controles!$BU$2:$BU$3</definedName>
    <definedName name="Resbalones_epp">Listas_EPP!$BT$2:$BT$4</definedName>
    <definedName name="Respiratorios_irritantes">Listas_Consecuencias!$BT$2:$BT$5</definedName>
    <definedName name="Respiratorios_irritantes_ctrl">Listas_Controles!$BV$2:$BV$3</definedName>
    <definedName name="Respiratorios_irritantes_epp">Listas_EPP!$BU$2:$BU$4</definedName>
    <definedName name="Revision">#REF!</definedName>
    <definedName name="Robo">Listas_Consecuencias!$BU$2:$BU$5</definedName>
    <definedName name="Robo_ctrl">Listas_Controles!$BW$2:$BW$3</definedName>
    <definedName name="Robo_epp">Listas_EPP!$BV$2:$BV$3</definedName>
    <definedName name="Ruido">Listas_Consecuencias!$BV$2:$BV$5</definedName>
    <definedName name="Ruido_ctrl">Listas_Controles!$BX$2:$BX$4</definedName>
    <definedName name="Ruido_epp">Listas_EPP!$BW$2:$BW$2</definedName>
    <definedName name="Ruido_herramientas">Listas_Consecuencias!$BW$2:$BW$5</definedName>
    <definedName name="Ruido_herramientas_ctrl">Listas_Controles!$BY$2:$BY$3</definedName>
    <definedName name="Ruido_herramientas_epp">Listas_EPP!$BX$2:$BX$2</definedName>
    <definedName name="Rutinario">Listas_Riesgos!#REF!</definedName>
    <definedName name="Salud_ctrl">Listas_Controles!$BZ$2:$BZ$2</definedName>
    <definedName name="Seguridad">Listas_Riesgos!$I$2:$I$5</definedName>
    <definedName name="Seguridad_ctrl">Listas_Controles!$CA$2:$CA$2</definedName>
    <definedName name="Servicios_desconocidos">Listas_Consecuencias!$BX$2:$BX$5</definedName>
    <definedName name="Servicios_desconocidos_ctrl">Listas_Controles!$CB$2:$CB$3</definedName>
    <definedName name="Servicios_desconocidos_epp">Listas_EPP!$BY$2:$BY$5</definedName>
    <definedName name="Sistema_de_presion">Listas_Consecuencias!$BY$2:$BY$5</definedName>
    <definedName name="Sistema_de_presion_ctrl">Listas_Controles!$CC$2:$CC$4</definedName>
    <definedName name="Sistema_de_presion_epp">Listas_EPP!$BZ$2:$BZ$5</definedName>
    <definedName name="Superficie_caliente_fria">Listas_Consecuencias!$BZ$2:$BZ$5</definedName>
    <definedName name="Superficie_caliente_fria_ctrl">Listas_Controles!$CD$2:$CD$4</definedName>
    <definedName name="Superficie_caliente_fria_epp">Listas_EPP!$CA$2:$CA$4</definedName>
    <definedName name="Torsion">Listas_Consecuencias!$CA$2:$CA$5</definedName>
    <definedName name="Torsion_ctrl">Listas_Controles!$CE$2:$CE$3</definedName>
    <definedName name="Torsion_epp">Listas_EPP!$CB$2:$CB$4</definedName>
    <definedName name="Trabajo_en_altura">Listas_Consecuencias!$CB$2:$CB$5</definedName>
    <definedName name="Trabajo_en_altura_ctrl">Listas_Controles!$CF$2:$CF$3</definedName>
    <definedName name="Trabajo_en_altura_epp">Listas_EPP!$CC$2:$CC$5</definedName>
    <definedName name="Trabajo_en_solitario">Listas_Consecuencias!$CC$2:$CC$5</definedName>
    <definedName name="Trabajo_en_solitario_ctrl">Listas_Controles!$CG$2:$CG$3</definedName>
    <definedName name="Trabajo_en_solitario_epp">Listas_EPP!$CD$2:$CD$4</definedName>
    <definedName name="Trabajo_estatico">Listas_Consecuencias!$CD$2:$CD$5</definedName>
    <definedName name="Trabajo_estatico_ctrl">Listas_Controles!$CH$2:$CH$3</definedName>
    <definedName name="Trabajo_estatico_epp">Listas_EPP!$CE$2:$CE$4</definedName>
    <definedName name="Trabajo_movil">Listas_Consecuencias!$CE$2:$CE$5</definedName>
    <definedName name="Trabajo_movil_ctrl">Listas_Controles!$CI$2:$CI$3</definedName>
    <definedName name="Trabajo_movil_epp">Listas_EPP!$CF$2:$CF$4</definedName>
    <definedName name="Vandalismo">Listas_Consecuencias!$CF$2:$CF$5</definedName>
    <definedName name="Vandalismo_ctrl">Listas_Controles!$CJ$2:$CJ$3</definedName>
    <definedName name="Vandalismo_epp">Listas_EPP!$CG$2:$CG$3</definedName>
    <definedName name="Vehiculos_trafico">Listas_Consecuencias!$CG$2:$CG$5</definedName>
    <definedName name="Vehiculos_trafico_ctrl">Listas_Controles!$CK$2:$CK$5</definedName>
    <definedName name="Vehiculos_trafico_epp">Listas_EPP!$CH$2:$CH$4</definedName>
    <definedName name="Vibracion">Listas_Consecuencias!$CH$2:$CH$5</definedName>
    <definedName name="Vibracion_ctrl">Listas_Controles!$CL$2:$CL$4</definedName>
    <definedName name="Vibracion_epp">Listas_EPP!$CI$2:$CI$2</definedName>
    <definedName name="Vibracion_herramientas">Listas_Consecuencias!$CI$2:$CI$5</definedName>
    <definedName name="Vibracion_herramientas_ctrl">Listas_Controles!$CM$2:$CM$3</definedName>
    <definedName name="Vibracion_herramientas_epp">Listas_EPP!$CJ$2:$CJ$2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E5" i="1" s="1"/>
  <c r="J9" i="1"/>
  <c r="P9" i="1"/>
  <c r="Q9" i="1"/>
  <c r="J10" i="1"/>
  <c r="Q10" i="1" s="1"/>
  <c r="P10" i="1"/>
  <c r="J11" i="1"/>
  <c r="P11" i="1"/>
  <c r="Q11" i="1"/>
  <c r="J12" i="1"/>
  <c r="P12" i="1" s="1"/>
  <c r="Q12" i="1"/>
  <c r="J13" i="1"/>
  <c r="P13" i="1"/>
  <c r="Q13" i="1"/>
  <c r="J14" i="1"/>
  <c r="P14" i="1" s="1"/>
  <c r="Q14" i="1"/>
  <c r="J15" i="1"/>
  <c r="P15" i="1"/>
  <c r="Q15" i="1"/>
  <c r="J16" i="1"/>
  <c r="P16" i="1"/>
  <c r="Q16" i="1"/>
  <c r="J17" i="1"/>
  <c r="P17" i="1" s="1"/>
  <c r="J18" i="1"/>
  <c r="P18" i="1"/>
  <c r="Q18" i="1"/>
  <c r="J19" i="1"/>
  <c r="P19" i="1"/>
  <c r="Q19" i="1"/>
  <c r="J20" i="1"/>
  <c r="P20" i="1"/>
  <c r="Q20" i="1"/>
  <c r="J21" i="1"/>
  <c r="P21" i="1" s="1"/>
  <c r="J22" i="1"/>
  <c r="P22" i="1"/>
  <c r="Q22" i="1"/>
  <c r="J23" i="1"/>
  <c r="P23" i="1"/>
  <c r="Q23" i="1"/>
  <c r="J24" i="1"/>
  <c r="P24" i="1"/>
  <c r="Q24" i="1"/>
  <c r="J25" i="1"/>
  <c r="P25" i="1" s="1"/>
  <c r="J26" i="1"/>
  <c r="P26" i="1"/>
  <c r="Q26" i="1"/>
  <c r="J27" i="1"/>
  <c r="P27" i="1"/>
  <c r="Q27" i="1"/>
  <c r="H91" i="5" a="1"/>
  <c r="H91" i="5" s="1"/>
  <c r="G91" i="5" a="1"/>
  <c r="G92" i="5" s="1"/>
  <c r="F91" i="5" a="1"/>
  <c r="F91" i="5" s="1"/>
  <c r="E91" i="5" a="1"/>
  <c r="E110" i="5" s="1"/>
  <c r="D91" i="5" a="1"/>
  <c r="D96" i="5" s="1"/>
  <c r="J8" i="1"/>
  <c r="P8" i="1" s="1"/>
  <c r="Q8" i="1" s="1"/>
  <c r="Q25" i="1" l="1"/>
  <c r="Q21" i="1"/>
  <c r="Q17" i="1"/>
  <c r="E111" i="5"/>
  <c r="D98" i="5"/>
  <c r="E112" i="5"/>
  <c r="D99" i="5"/>
  <c r="E101" i="5"/>
  <c r="E113" i="5"/>
  <c r="D97" i="5"/>
  <c r="E100" i="5"/>
  <c r="E91" i="5"/>
  <c r="E102" i="5"/>
  <c r="E114" i="5"/>
  <c r="E103" i="5"/>
  <c r="E115" i="5"/>
  <c r="E99" i="5"/>
  <c r="D91" i="5"/>
  <c r="E92" i="5"/>
  <c r="E104" i="5"/>
  <c r="E116" i="5"/>
  <c r="E93" i="5"/>
  <c r="E105" i="5"/>
  <c r="D92" i="5"/>
  <c r="E94" i="5"/>
  <c r="E106" i="5"/>
  <c r="D93" i="5"/>
  <c r="E95" i="5"/>
  <c r="E107" i="5"/>
  <c r="G91" i="5"/>
  <c r="E108" i="5"/>
  <c r="D95" i="5"/>
  <c r="E97" i="5"/>
  <c r="E109" i="5"/>
  <c r="D94" i="5"/>
  <c r="E96" i="5"/>
  <c r="E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Quinonez</author>
  </authors>
  <commentList>
    <comment ref="A6" authorId="0" shapeId="0" xr:uid="{00000000-0006-0000-0000-000001000000}">
      <text>
        <r>
          <rPr>
            <sz val="10"/>
            <rFont val="Arial"/>
            <family val="2"/>
          </rPr>
          <t>Raul Quinonez:
Rutiniario: Actividades que se realizan diariamente en el proceso de trabajo.
No rutinario: Actividades poco frecuentes que no se realizan de manera constante.
Emergencia: Tareas que se realizan si ocurriese una emergencia.
Apagado y puesta en marcha: Actividades que se realizan al apagar o arrancar el equipo.</t>
        </r>
      </text>
    </comment>
    <comment ref="B6" authorId="0" shapeId="0" xr:uid="{00000000-0006-0000-0000-000003000000}">
      <text>
        <r>
          <rPr>
            <sz val="10"/>
            <rFont val="Arial"/>
            <family val="2"/>
          </rPr>
          <t>Raul Quinonez:
Especificar la tarea: Ej. Prueba ICT</t>
        </r>
      </text>
    </comment>
    <comment ref="C6" authorId="0" shapeId="0" xr:uid="{00000000-0006-0000-0000-000004000000}">
      <text>
        <r>
          <rPr>
            <sz val="10"/>
            <rFont val="Arial"/>
            <family val="2"/>
          </rPr>
          <t>Raul Quinonez:
Pasos especificos de la tarea. Ej: Colocar tablilla en Fixtura</t>
        </r>
      </text>
    </comment>
    <comment ref="G6" authorId="0" shapeId="0" xr:uid="{00000000-0006-0000-0000-000005000000}">
      <text>
        <r>
          <rPr>
            <sz val="10"/>
            <rFont val="Arial"/>
            <family val="2"/>
          </rPr>
          <t>Raul Quinonez:
Si tú puedes ORDENAR el cambio o la solución  - Elige Control.
Si tienes que PEDIR, NEGOCIAR o CONVENCER a otro- Elige Influencia.</t>
        </r>
      </text>
    </comment>
    <comment ref="O7" authorId="0" shapeId="0" xr:uid="{00000000-0006-0000-0000-000006000000}">
      <text>
        <r>
          <rPr>
            <sz val="10"/>
            <rFont val="Arial"/>
            <family val="2"/>
          </rPr>
          <t>Raul Quinonez:
1. Eliminación
2. Sustitución
3. Control de Ingeniería
4. Control Administrativo
5. Equipo de Proteccion Personal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<sst xmlns="http://schemas.openxmlformats.org/spreadsheetml/2006/main" count="2563" uniqueCount="1242">
  <si>
    <t>PROCESO EVALUADO</t>
  </si>
  <si>
    <t>AREAS FISICAS DEL PROCESO</t>
  </si>
  <si>
    <t>NOMBRES Y FIRMAS DE APROBADORES</t>
  </si>
  <si>
    <t>WORKCELL O FUNCTIONAL MNGR DEL PROCESO</t>
  </si>
  <si>
    <t>INGENIERIA (IE, AUTO, ME, TE)</t>
  </si>
  <si>
    <t>OTRO:__________________</t>
  </si>
  <si>
    <t>FECHA DE EVALUACION</t>
  </si>
  <si>
    <t>FECHA DE SIGUIENTE EVALUACION (12 MESES O RR MAYOR)</t>
  </si>
  <si>
    <t>REPRESENTANTE DE EHS</t>
  </si>
  <si>
    <t>OTRO:_________________</t>
  </si>
  <si>
    <t>Condición</t>
  </si>
  <si>
    <t>Tarea</t>
  </si>
  <si>
    <t>Pasos de la tarea</t>
  </si>
  <si>
    <t>Tipo de Peligro</t>
  </si>
  <si>
    <t>Riesgo</t>
  </si>
  <si>
    <t>Consecuencia</t>
  </si>
  <si>
    <t>Control o Influencia</t>
  </si>
  <si>
    <t>Riesgo Inherente
(Sin Controles)</t>
  </si>
  <si>
    <t>Control (s)</t>
  </si>
  <si>
    <t xml:space="preserve">Descricpión técnica del EPP Requerido: Clase, nivel de protección, norma de consenso, regulación, presentación, modelo. </t>
  </si>
  <si>
    <t>Documentos donde se estandarizan los controles: procedimiento, ayuda visual, instrucción de trabajo otro en Jdoc</t>
  </si>
  <si>
    <t>Controles Verificados por EHS (Nombre)</t>
  </si>
  <si>
    <t>Puntuación del riesgo despues de controles</t>
  </si>
  <si>
    <t xml:space="preserve"># IP en EHSIP </t>
  </si>
  <si>
    <t># Acción o tarea</t>
  </si>
  <si>
    <t>S</t>
  </si>
  <si>
    <t>P</t>
  </si>
  <si>
    <t>RI</t>
  </si>
  <si>
    <t>Nivel del control</t>
  </si>
  <si>
    <t>RR</t>
  </si>
  <si>
    <t>% Reducción</t>
  </si>
  <si>
    <t>Punciones</t>
  </si>
  <si>
    <t>bu</t>
  </si>
  <si>
    <t>PJ-EHSIP</t>
  </si>
  <si>
    <t>PT EHSIP</t>
  </si>
  <si>
    <t>Descripción de acciones correspondientes</t>
  </si>
  <si>
    <t>Responsable</t>
  </si>
  <si>
    <t>Correo</t>
  </si>
  <si>
    <t>Fecha de vencimiento</t>
  </si>
  <si>
    <t>Guía de EPP (No definitiva)</t>
  </si>
  <si>
    <t>Puntuación de Riesgo</t>
  </si>
  <si>
    <t>Nivel de Riesgo</t>
  </si>
  <si>
    <t>Prioridad de Acción</t>
  </si>
  <si>
    <t>Ponderacion impacto</t>
  </si>
  <si>
    <t>Ponderacion Probabilidad</t>
  </si>
  <si>
    <t>Nivel de Control</t>
  </si>
  <si>
    <t>Lentes o cubrelentes de seguridad ANSI Z87.1, contra partículas proyectadas. No protégé contra salpicaduras, vapores, nieblas, humos o polvos.</t>
  </si>
  <si>
    <t>0 – 3</t>
  </si>
  <si>
    <t>Bajo</t>
  </si>
  <si>
    <t>La actividad PUEDE PROCEDER CON SUPERVISIÓN NORMAL DESPUÉS DE IMPLEMENTAR LAS MEDIDAS DE CONTROL
Verificar que todos los controles estén en su lugar y minimicen los riesgos.
Determine si otros métodos de reducción de riesgo son posibles.
Verificar evaluación dentro de un año.</t>
  </si>
  <si>
    <t>Impacto</t>
  </si>
  <si>
    <t>Salud</t>
  </si>
  <si>
    <t>Seguridad</t>
  </si>
  <si>
    <t>Medio Ambiente</t>
  </si>
  <si>
    <t>Interrupción del Negocio</t>
  </si>
  <si>
    <t>Probabilidad</t>
  </si>
  <si>
    <t>Descripcion</t>
  </si>
  <si>
    <t>Eliminación: Consiste en eliminar completamente el peligro. Es el control más efectivo.
Ejemplo: Eliminar un químico peligroso del proceso para que ya no sea necesario usarlo.</t>
  </si>
  <si>
    <t>Goggles contra polvos  ANSI Z87.1,</t>
  </si>
  <si>
    <t>4 – 9</t>
  </si>
  <si>
    <t>Medio</t>
  </si>
  <si>
    <t>Antes de realizar la tarea o el uso del equipo, se deben establecer controles seleccionados para reducir el riesgo de “Control efectivo”
Se pueden implementar medidas de control de riesgos provisionales, como controles administrativos o EPP, mientras se establecen medidas a más largo plazo.
Establecer un plan de acción para reducir los riesgos.
Establecer el cronograma de implementación del control.
La reevaluación se llevará a cabo dentro de los 6 meses posteriores a la finalización de las acciones.</t>
  </si>
  <si>
    <t>Síntomas a corto plazo (enfermedad/condición) que no resultan en pérdida de tiempo laboral. Efectos reversibles.</t>
  </si>
  <si>
    <t>Lesión menor, no más grave que la que requiere primeros auxilios únicamente – incidente de primeros auxilios.</t>
  </si>
  <si>
    <t>Daño ambiental mínimo y a corto plazo (horas), contenido dentro del área inmediata.</t>
  </si>
  <si>
    <t xml:space="preserve">Pérdidas reales con un valor inferior a USD $1,000.Problema local sin impacto o con impacto limitado en la percepcion del mercado </t>
  </si>
  <si>
    <t>Extremadamente improbable, raro (p. ej., nunca realizado en el negocio)</t>
  </si>
  <si>
    <t>Sustitucion: Reemplazar el peligro por uno menos riesgoso.
Ejemplo: Sustituir un solvente tóxico por uno biodegradable y de baja toxicidad.</t>
  </si>
  <si>
    <t>Goggles contra salpicaduras de químicos  ANSI Z87.1,</t>
  </si>
  <si>
    <t>10 – 16</t>
  </si>
  <si>
    <t>Alto</t>
  </si>
  <si>
    <t>Prioridad significativa
Antes de realizar la tarea o el uso del equipo, establecer controles seleccionados para reducir el riesgo de "Control efectivo".
Establecer un plan de acción para reducir los riesgos.
Establecer el cronograma de implementación del control.
La reevaluación se llevará a cabo dentro de los 30 días posteriores a la finalización de las acciones.</t>
  </si>
  <si>
    <t>Enfermedad que requiere tratamiento o atención médica, pero la persona aún está apta para realizar sus funciones normales. Efectos reversibles.</t>
  </si>
  <si>
    <t>Tratamiento médico básico (no incluye amputaciones ni fracturas), pérdida de tiempo o incidente registrable, con rápido retorno al trabajo (ausencia más allá del turno en que ocurrió).</t>
  </si>
  <si>
    <t>Daño ambiental menor y a corto plazo (días), contenido dentro de los límites de la instalación.</t>
  </si>
  <si>
    <t>Pérdidas reales con un valor inferior a USD $25,000.Potencial de escalamiento y/o impacto menor en la percepción del mercado que requiere atención y consideración de la alta dirección.</t>
  </si>
  <si>
    <t>Improbable, poco común (p. ej., una vez en el negocio)</t>
  </si>
  <si>
    <t>Controles de ingenieria: Aislar a las personas del peligro mediante cambios físicos o de diseño.
Ejemplo: Instalar una guarda de seguridad en una máquina con partes móviles.</t>
  </si>
  <si>
    <t>Goggles de soldadura para oxycorte filtro 4 a 6 ANSI Z87.1,</t>
  </si>
  <si>
    <t>20 – 25</t>
  </si>
  <si>
    <t>Urgente</t>
  </si>
  <si>
    <t>Esta es una prioridad inmediata.
La actividad NO DEBE proceder.
Antes de realizar la tarea o el uso del equipo, se implementan controles adicionales para reducir el riesgo de "Control efectivo".
Establecer un plan de acción para reducir los riesgos.
Una nueva evaluación es necesaria tan pronto como los controles se hayan implementado.</t>
  </si>
  <si>
    <t>Enfermedad que incapacita para realizar funciones normales (NO APTO PARA TRABAJAR). Efectos reversibles, pero de naturaleza grave.</t>
  </si>
  <si>
    <t>Fracturas, lesiones musculoesqueléticas, quemaduras significativas (ausencia significativa del trabajo).</t>
  </si>
  <si>
    <t>Daño ambiental a corto plazo (semanas), contenido dentro de los límites del sitio.</t>
  </si>
  <si>
    <t>Pérdidas reales mayores a USD $25,000 pero menores a USD $100,000.
Impacto moderado o material en la percepción del mercado de Jabil que requiere atención e intervención de la alta dirección.</t>
  </si>
  <si>
    <t>Probable (p. ej., anual)</t>
  </si>
  <si>
    <t>Controles administrativos: Cambiar la forma de trabajar mediante procedimientos, capacitación o señalización.
Ejemplo: Implementar un procedimiento de trabajo seguro y capacitar al personal en su uso.</t>
  </si>
  <si>
    <t>Lentes de protección a laser, Clase 3 y Clase 4, ANSI Z136.1 / ANSI Z87.1,</t>
  </si>
  <si>
    <t>Problemas de salud debilitantes, terminales y/o de larga duración.</t>
  </si>
  <si>
    <t>Una sola fatalidad o lesiones incapacitantes (p. ej., amputaciones, pérdida de la vista, etc.).</t>
  </si>
  <si>
    <t>Daño ambiental grave a mediano plazo (meses) y/o con impacto local fuera del sitio.</t>
  </si>
  <si>
    <t>Pérdidas reales mayores a USD $100,000.Impacto importante en la percepción del mercado de Jabil que requiere atención e intervención inmediata de la alta dirección.</t>
  </si>
  <si>
    <t>Ocurre a menudo (p. ej., semanal)</t>
  </si>
  <si>
    <t>Equipo de proteccion personal: Proteger al trabajador con equipo personal; es el último nivel de control.
Ejemplo: Uso de guantes, lentes de seguridad y casco para realizar una tarea.</t>
  </si>
  <si>
    <t>Pantalla facial resistente a fluídos químicos ANSI Z87.1</t>
  </si>
  <si>
    <t>Condiciones de salud terminales que podrían afectar a múltiples personas.</t>
  </si>
  <si>
    <t>Fatalidades múltiples.</t>
  </si>
  <si>
    <t>Daño ambiental muy grave, a largo plazo (años) o permanente y/o con impacto nacional o internacional.</t>
  </si>
  <si>
    <t>Pérdidas reales mayores a USD $1,000,000.Impacto dramático y material en la percepción del mercado de Jabil que requiere intervención y gestión inmediata de la alta dirección.</t>
  </si>
  <si>
    <t>Ocurre frecuentemente, esperado (p. ej., diaria)</t>
  </si>
  <si>
    <t>Pantalla facial resistente a proyección de partículas y radiaciones UV ANSI Z87.1,</t>
  </si>
  <si>
    <t>Careta de soldador para protección a proyección de particulas incandescentes y radiaciones UV de soldadura filtro 10-14 ANSI Z87.1,</t>
  </si>
  <si>
    <t>Calzado ocupacional Tipo II NOM-113-STPS, cerrado con protección en punta para impactos y compresión, suela antiderrapante 
Ajuste en tobillopor bota, botín, medio botín, 3/4 de botín para operador de estación o ejecutante de actividad, (ajuste no requerido para visitas)</t>
  </si>
  <si>
    <t>Calzado ocupacional Tipo III NOM-113-STPS, cerrado con protección contra choque eléctrico indicado, protector en punta para impactos y compresión, suela antiderrapante 
Ajuste en tobillopor bota, botín, medio botín, 3/4 de botín para operador de estación o ejecutante de actividad, (ajuste no requerido para visitas)</t>
  </si>
  <si>
    <t>Calzado ocupacional Tipo IV NOM-113-STPS, cerrado con protección metatarsal, protector en punta para impactos y compresión, suela antiderrapante
Ajuste en tobillopor bota, botín, medio botín, 3/4 de botín para operador de estación o ejecutante de actividad, (ajuste no requerido para visitas)</t>
  </si>
  <si>
    <t>Calzado ocupacional Tipo V NOM-113-STPS, cerrado con propiedades conductivas y disipativas para descarga gradual, protector en punta para impactos y compresión, suela antiderrapante
Ajuste en tobillopor bota, botín, medio botín, 3/4 de botín para operador de estación o ejecutante de actividad, (ajuste no requerido para visitas)</t>
  </si>
  <si>
    <t>Calzado ocupacional Tipo VI NOM-113-STPS, cerrado, resistente a la penetración de objetos punzocortantes, protector en punta para impactos y compresión, suela antiderrapante
Ajuste en tobillopor bota, botín, medio botín, 3/4 de botín para operador de estación o ejecutante de actividad, (ajuste no requerido para visitas)</t>
  </si>
  <si>
    <t>Calzado ocupacional Tipo VII NOM-113-STPS, cerrado, con propiedades antietáticas para reducir la generación y almacenamiento de cargas estáticas, protector en punta para impactos y compresión, suela antiderrapante
Ajuste en tobillopor bota, botín, medio botín, 3/4 de botín para operador de estación o ejecutante de actividad, (ajuste no requerido para visitas)</t>
  </si>
  <si>
    <t>Casco clase G (General) NOM-115-STPS, para reducr fuerza de impacto de objetos en caída y el peligro de contacto con conductores energizados a baja tensión eléctrica de hasta 2 200 V (fase a tierra)</t>
  </si>
  <si>
    <t>Casco Clase E (Dieléctrico) NOM-115-STPS con protección para reducir la fuerza de impacto de objetos en caída y el peligro de contacto con conductores energizados a alta tensión eléctrica de hasta 20 000 V (fase a tierra)</t>
  </si>
  <si>
    <t>Clase C (Conductor) NOM-115-STPS con protección para reducir la fuerza de impacto de objetos en caída. No protégé contra choque eléctrico.</t>
  </si>
  <si>
    <t>Gorra de Seguridad EN812/ANSI100 para protección al golpearse contra objetos estacionarios contundentes y/o afilados. No proteje contra impactos o caída de objetos.</t>
  </si>
  <si>
    <t>Respirador purificador de aire N (Partículas sólidas) NOM-116-STPS</t>
  </si>
  <si>
    <t>Respirador purificador de aire R (Partículas sólidas y aceites) NOM-116-STPS, limitado a utilizarse  hasta 8 horas por jornada.</t>
  </si>
  <si>
    <t>Respirador purificador de aire P (Partículas sólidas y aceites) NOM-116-STPS, sin límite de tiempo por jornada.</t>
  </si>
  <si>
    <t>Guantes con protección mecánica ANSI/ISEA 105-2016/EN388 de carnaza resistente a chispas y otras partículas proyectadas calientes, proteccion contra abrasiones y bordes afilados</t>
  </si>
  <si>
    <t>Guantes con protección térmica EN407/ANSI105 aluminizados y aislados  resistente a radiacion infraroja y superficies calientes</t>
  </si>
  <si>
    <t>Guantes con protección mecánica ANSI/ISEA 105-2016/EN388 de fibra de aramida resistentes a superficies moderadamente frías o calientes y resistente a cortes y abrasiones</t>
  </si>
  <si>
    <t>Guantes Guantes con protección mecánica ANSI/ISEA 105-2016/EN388 de malla metálica resistente a cortes y abrasiones</t>
  </si>
  <si>
    <t>Guantes con protección mecánica ANSI/ISEA 105-2016/EN388 de fibras sintéticas para proteccion contra superficies ligeramente frías o calientes, mejorar el agarre en superficies deslizantes, contra abrasiones leves</t>
  </si>
  <si>
    <t>Guantes de protección química EN/ISO 374 caucho butílico resistente a ácidos, álcalis y soluciones solubles en agua. Ligera y corta protección a líquidos base solvente orgánico</t>
  </si>
  <si>
    <t>Guantes de protección química EN/ISO 374 de látex, goma o caucho natural resistente a ácidos, alcalis y soluciones solubles en agua. Ligera y corta protección a líquidos base solvente orgánico</t>
  </si>
  <si>
    <t>Guantes de protección química EN/ISO 374 de neopreno resistente a gasolina, alcohol, ácidos y álcalis orgánicos</t>
  </si>
  <si>
    <t>Guantes de protección química EN/ISO 374  de nitrilo resistentes a solventes clorados</t>
  </si>
  <si>
    <t>Overall Tyvek CE con protección para salpicaduras ligeras de productos químicos no concentrados, polvos, nieblas</t>
  </si>
  <si>
    <t>Guía de Riesgos (no definitiva)</t>
  </si>
  <si>
    <t>Probabilidad (Exposición mas Ocurrencia)</t>
  </si>
  <si>
    <t>Compresión</t>
  </si>
  <si>
    <t>1-Leve: Síntomas de corto plazo, condiciones que no resultan en tiempo perdido, primer auxilio. Daños a la propiedad menores a $1000 USD. Sin afectación a imágen corporativa o afectación mínima.</t>
  </si>
  <si>
    <t>5- Casi seguro: Ocurre frecuentemente (diario)</t>
  </si>
  <si>
    <t>Impacto de objeto sólido</t>
  </si>
  <si>
    <t>2-Menor: Lesión que requiere tratamiento mayor a primeros auxilios por un profesional de la salud sin dias perdidos. Daños a la propiedad menores a $25 000 USD.Afectación a imágen corporativa que requiere la intervención de especialistas fuera del sitio (RH, Comunicacion, legal regional).</t>
  </si>
  <si>
    <t>4 - Muy posible: Ocurre ocasionalmente (semanalmente)</t>
  </si>
  <si>
    <t>Proyección de partículas o fluído presurizado</t>
  </si>
  <si>
    <t>3-Moderado: Lesión que no permite continuar con la actividad laboral o personal por un periodo temporal, con efectos reversibles (días perdidos). Daños a la propiedad menores a $100 000 USD. Afectación a imágen corporativa que requiere la intervención de Direcciones y Vicepresidencias fuera del sitio (Plan de atención a crisis).</t>
  </si>
  <si>
    <t>3-Posible: Es probable que ocurra (anualmente)</t>
  </si>
  <si>
    <t>Borde afilado</t>
  </si>
  <si>
    <t>4-Mayor: Lesión con efectos debilitantes, crónicos y de larga duración. Daños a la propiedad menores a $1000 000 USD. Afectación a imágen corporativa que requiere la intervención inmediata de Direcciones y Vicepresidencias fuera del sitio  (Plan de atención a crisis). regional).</t>
  </si>
  <si>
    <t>2 -Poco posible: Poco probable (Una vez durante todo un proyecto/WC)</t>
  </si>
  <si>
    <t>Objeto estacionario / contundente</t>
  </si>
  <si>
    <t>5-Crítico: Lesión que no permite continuar con la actividad laboral o personal por un periodo temporal, con efectos reversibles (días perdidos). Daños a la propiedad mayores a $1000 000 USD. Afectación a imágen corporativa que requiere la intervención de Direcciones,  Vicepresidencias y el CEO  (Plan de atención a crisis).</t>
  </si>
  <si>
    <t>1 -Raro: Improbable (Nunca, no esperado que ocurra)</t>
  </si>
  <si>
    <t>Objeto sobresaliente</t>
  </si>
  <si>
    <t>Superficie abrasiva</t>
  </si>
  <si>
    <t>Punto de atrapamiento</t>
  </si>
  <si>
    <t>Definición y periodo para plan de acción</t>
  </si>
  <si>
    <t>Punto de pincheo</t>
  </si>
  <si>
    <t>20-25
Urgente</t>
  </si>
  <si>
    <t>La opreación no puede continuar hasta reducir su riesgo</t>
  </si>
  <si>
    <t>Superficie caliente</t>
  </si>
  <si>
    <t>10-19
Alto</t>
  </si>
  <si>
    <t>Requiere un plan de acción con seguimiento tipo CAPA en EHSIP y Acción en JOS para cierre en menos de 2 meses o 60 días</t>
  </si>
  <si>
    <t>Superficie fría</t>
  </si>
  <si>
    <t>4-9
Medio</t>
  </si>
  <si>
    <t>Requiere un plan de acción con seguimiento tipo IP en EHSIP y  tarea en JOS para cierre en menos de 6 meses o 180 días</t>
  </si>
  <si>
    <t>Objeto o superficie vibratoria</t>
  </si>
  <si>
    <t>1-3
Bajo</t>
  </si>
  <si>
    <t>Riesgo aceptable, no es requerido un plan de acción</t>
  </si>
  <si>
    <t>Caída de objetos</t>
  </si>
  <si>
    <t>Resbalón, tropiezo o caída del mismo o diferente nivel</t>
  </si>
  <si>
    <t>Sobre esfuerzo agudo</t>
  </si>
  <si>
    <t>Hiper extensión</t>
  </si>
  <si>
    <t>Posición incomoda o no natural sostenida</t>
  </si>
  <si>
    <t>Repetición de movimientos</t>
  </si>
  <si>
    <t>Levantamiento manual de cargas</t>
  </si>
  <si>
    <t>Choque eléctrico</t>
  </si>
  <si>
    <t>Arco eléctrico</t>
  </si>
  <si>
    <t>Ráfaga de arco</t>
  </si>
  <si>
    <t>Mezcla, polvo, niebla irritante o que provoca quemaduras</t>
  </si>
  <si>
    <t>Producto químico irritante o que provoca quemaduras</t>
  </si>
  <si>
    <t>Polvos, nieblas o vapores inhalables</t>
  </si>
  <si>
    <t>Ruido</t>
  </si>
  <si>
    <t>Radiación no ionizante como Láser, UV, IR, RF</t>
  </si>
  <si>
    <t>Radiación ionizante como rayos X</t>
  </si>
  <si>
    <t>Material explosivo</t>
  </si>
  <si>
    <t>Material inflamable</t>
  </si>
  <si>
    <t>Polvo comustible</t>
  </si>
  <si>
    <t>Material reactivo</t>
  </si>
  <si>
    <t>Material tóxico</t>
  </si>
  <si>
    <t>Material Corrosivo</t>
  </si>
  <si>
    <t>Material biológico infeccioso</t>
  </si>
  <si>
    <t>Desplazamiento de óxigeno</t>
  </si>
  <si>
    <t>Estrés por calor</t>
  </si>
  <si>
    <t>Emergencia - Fuego, conato, incendio, reacción exotérmica, fallo térmico de batería</t>
  </si>
  <si>
    <t>Explosión, ignición, detonación, deflagración</t>
  </si>
  <si>
    <t>Sismo</t>
  </si>
  <si>
    <t xml:space="preserve">Clima extremo, inundación, vientos mayores a 60 KM/h, </t>
  </si>
  <si>
    <t>Falla en la alimentacion de energía eléctrica</t>
  </si>
  <si>
    <t>Brote epidemiológico</t>
  </si>
  <si>
    <t>Descarga a drenaje o cuerpos de agua</t>
  </si>
  <si>
    <t>Emisión al ambiente</t>
  </si>
  <si>
    <t>Agotador de la capa de ozono</t>
  </si>
  <si>
    <t>Gas de efecto invernadero, directo o indirecto</t>
  </si>
  <si>
    <t>Residuo sólido peligroso, no peligroso o urbano</t>
  </si>
  <si>
    <t>Categoría de peligro</t>
  </si>
  <si>
    <t>Peligros específicos</t>
  </si>
  <si>
    <t>Gravedad</t>
  </si>
  <si>
    <t>Control sugerido</t>
  </si>
  <si>
    <t>EPP específico (NOM-017-STPS-2024)</t>
  </si>
  <si>
    <t>Mecanico</t>
  </si>
  <si>
    <t>Bordes afilados</t>
  </si>
  <si>
    <t>Cortes</t>
  </si>
  <si>
    <t>Guantes anticorte, resguardos, inspección de herramientas, capacitación en manejo seguro</t>
  </si>
  <si>
    <t>Guantes anticorte (nivel adecuado), mangas anticorte, lentes de seguridad</t>
  </si>
  <si>
    <t>Cargas en movimiento</t>
  </si>
  <si>
    <t>Aplastamiento</t>
  </si>
  <si>
    <t>Rutas señalizadas, spotters, equipo de izaje certificado, bloqueo de áreas</t>
  </si>
  <si>
    <t>Casco clase E, botas con casquillo, guantes de trabajo, chaleco alta visibilidad</t>
  </si>
  <si>
    <t>Cargas inestables</t>
  </si>
  <si>
    <t>Contusion</t>
  </si>
  <si>
    <t>Aseguramiento de carga, pruebas de estabilidad, uso de cinchos y eslingas certificadas</t>
  </si>
  <si>
    <t>Arnés clase A, línea de vida con absorbedor, casco con barboquejo, calzado antiderrapante</t>
  </si>
  <si>
    <t>Trauma severo</t>
  </si>
  <si>
    <t>Protecciones físicas, LOTO, sensores de presencia, resguardos fijos</t>
  </si>
  <si>
    <t>Casco, lentes, guantes y calzado de seguridad</t>
  </si>
  <si>
    <t>Atrapamiento</t>
  </si>
  <si>
    <t>Amputación</t>
  </si>
  <si>
    <t>Cubiertas en partes móviles, ropa ajustada, capacitación, LOTO</t>
  </si>
  <si>
    <t>Abrasión/fricción</t>
  </si>
  <si>
    <t>Raspaduras</t>
  </si>
  <si>
    <t>EPP adecuado, resguardos, superficies lisas</t>
  </si>
  <si>
    <t>Eyección de material</t>
  </si>
  <si>
    <t>Lesión penetrante</t>
  </si>
  <si>
    <t>Careta, gafas de seguridad, pantallas protectoras</t>
  </si>
  <si>
    <t>Carga suspendida</t>
  </si>
  <si>
    <t>Golpe fatal</t>
  </si>
  <si>
    <t>Zona de exclusión, radios, equipo certificado, operador autorizado</t>
  </si>
  <si>
    <t>Liberación de energía</t>
  </si>
  <si>
    <t>Impacto severo</t>
  </si>
  <si>
    <t>LOTO, disipación controlada de energía, válvulas de seguridad</t>
  </si>
  <si>
    <t>Superficie caliente/fría</t>
  </si>
  <si>
    <t>Quemadura</t>
  </si>
  <si>
    <t>Aislamiento térmico, señalización, guantes térmicos</t>
  </si>
  <si>
    <t>Guantes térmicos, ropa resistente al calor, visor térmico</t>
  </si>
  <si>
    <t>Pérdida auditiva</t>
  </si>
  <si>
    <t>Controles de ingeniería, barreras acústicas, tapones auditivos</t>
  </si>
  <si>
    <t>Tapones o conchas auditivas certificados según dB</t>
  </si>
  <si>
    <t>Vibración</t>
  </si>
  <si>
    <t>Daño crónico</t>
  </si>
  <si>
    <t>Herramientas antivibración, rotación de tareas, límites de exposición</t>
  </si>
  <si>
    <t>Guantes antivibración</t>
  </si>
  <si>
    <t>Radiación ionizante</t>
  </si>
  <si>
    <t>Daño celular/cáncer</t>
  </si>
  <si>
    <t>Blindaje, monitoreo dosimétrico, acceso restringido</t>
  </si>
  <si>
    <t>Dosímetro, lentes plomados, delantal plomado</t>
  </si>
  <si>
    <t>Radiación no ionizante</t>
  </si>
  <si>
    <t>Daño ocular</t>
  </si>
  <si>
    <t>Filtros UV, protección ocular, barreras</t>
  </si>
  <si>
    <t>Sistema de presión</t>
  </si>
  <si>
    <t>Explosión</t>
  </si>
  <si>
    <t>Válvulas de alivio, inspecciones periódicas, pruebas hidrostáticas</t>
  </si>
  <si>
    <t>Protección facial integral, ropa FR/antiestática, casco, calzado dieléctrico</t>
  </si>
  <si>
    <t>Inyección por presión</t>
  </si>
  <si>
    <t>Lesión severa</t>
  </si>
  <si>
    <t>Protección de mangueras, bloqueo de energía, EPP</t>
  </si>
  <si>
    <t>Alta o baja presión</t>
  </si>
  <si>
    <t>Barotrauma</t>
  </si>
  <si>
    <t>Manómetros, válvulas reguladoras, mantenimiento preventivo</t>
  </si>
  <si>
    <t>Partes móviles</t>
  </si>
  <si>
    <t>Resguardos mecánicos, LOTO, sensores</t>
  </si>
  <si>
    <t>Lugar de trabajo</t>
  </si>
  <si>
    <t>Caídas de altura</t>
  </si>
  <si>
    <t>Trauma severo o muerte</t>
  </si>
  <si>
    <t>Arnés, líneas de vida, barandales, andamios certificados</t>
  </si>
  <si>
    <t>Caída a nivel</t>
  </si>
  <si>
    <t>Esguince</t>
  </si>
  <si>
    <t>Limpieza, señalización, calzado antiderrapante</t>
  </si>
  <si>
    <t>Resbalones</t>
  </si>
  <si>
    <t>Torceduras</t>
  </si>
  <si>
    <t>Tapetes antideslizantes, control de derrames</t>
  </si>
  <si>
    <t>Obstrucciones</t>
  </si>
  <si>
    <t>Golpes</t>
  </si>
  <si>
    <t>Orden y limpieza, rutas despejadas</t>
  </si>
  <si>
    <t>Vehículos/tráfico</t>
  </si>
  <si>
    <t>Atropellamiento</t>
  </si>
  <si>
    <t>Zonas peatonales, speed bumps, señalización, capacitación</t>
  </si>
  <si>
    <t>Chaleco alta visibilidad clase 2/3, casco, botas con casquillo</t>
  </si>
  <si>
    <t>Trabajo en altura</t>
  </si>
  <si>
    <t>Caída</t>
  </si>
  <si>
    <t>Sistemas anti-caídas, inspección de equipo</t>
  </si>
  <si>
    <t>Materiales suspendidos</t>
  </si>
  <si>
    <t>Bloqueo de área, radios, supervisión</t>
  </si>
  <si>
    <t>Espacio confinado</t>
  </si>
  <si>
    <t>Asfixia</t>
  </si>
  <si>
    <t>Monitoreo de gases, ventilación, permisos de entrada</t>
  </si>
  <si>
    <t>Respirador (P100/químico) o SCBA según concentración, goggles, guantes químicos</t>
  </si>
  <si>
    <t>Calidad del aire</t>
  </si>
  <si>
    <t>Intoxicación</t>
  </si>
  <si>
    <t>Ventilación, detectores de gas, respiradores</t>
  </si>
  <si>
    <t>Poca iluminación</t>
  </si>
  <si>
    <t>Tropiezos</t>
  </si>
  <si>
    <t>Iluminación adecuada, mantenimiento de lámparas</t>
  </si>
  <si>
    <t>Luz excesiva</t>
  </si>
  <si>
    <t>Filtros, gafas de seguridad</t>
  </si>
  <si>
    <t>Humedad</t>
  </si>
  <si>
    <t>Caídas</t>
  </si>
  <si>
    <t>Control de humedad, secado de superficies</t>
  </si>
  <si>
    <t>Calor excesivo</t>
  </si>
  <si>
    <t>Golpe de calor</t>
  </si>
  <si>
    <t>Hidratación, descansos, sombra</t>
  </si>
  <si>
    <t>Frío extremo</t>
  </si>
  <si>
    <t>Hipotermia</t>
  </si>
  <si>
    <t>Ropa térmica, refugios, calentadores</t>
  </si>
  <si>
    <t>Guantes térmicos, ropa térmica/FR según caso</t>
  </si>
  <si>
    <t>Material combustible</t>
  </si>
  <si>
    <t>Incendio</t>
  </si>
  <si>
    <t>Almacenamiento seguro, extintores, ventilación</t>
  </si>
  <si>
    <t>Servicios desconocidos</t>
  </si>
  <si>
    <t>Detección previa, planos actualizados</t>
  </si>
  <si>
    <t>Guantes dieléctricos (clase según voltaje), calzado aislante, careta y ropa arc flash, casco clase E</t>
  </si>
  <si>
    <t>Golpes con objetos</t>
  </si>
  <si>
    <t>Casco, orden y limpieza</t>
  </si>
  <si>
    <t>Objetos que caen</t>
  </si>
  <si>
    <t>Fracturas</t>
  </si>
  <si>
    <t>Protección superior, almacenamiento seguro</t>
  </si>
  <si>
    <t>Radiación</t>
  </si>
  <si>
    <t>Exposición severa</t>
  </si>
  <si>
    <t>Barreras, monitoreo</t>
  </si>
  <si>
    <t>Actividad de terceros</t>
  </si>
  <si>
    <t>Accidentes</t>
  </si>
  <si>
    <t>Permisos, coordinación, inducción de seguridad</t>
  </si>
  <si>
    <t>Patógenos</t>
  </si>
  <si>
    <t>Enfermedad</t>
  </si>
  <si>
    <t>Higiene, EPP biológico, desinfección</t>
  </si>
  <si>
    <t>N95, goggles o careta, guantes desechables, bata/overol desechable</t>
  </si>
  <si>
    <t>Clima extremo</t>
  </si>
  <si>
    <t>Daño físico</t>
  </si>
  <si>
    <t>Refugios, rotación de trabajo</t>
  </si>
  <si>
    <t>Ignición accidental</t>
  </si>
  <si>
    <t>Incendio/explosión</t>
  </si>
  <si>
    <t>Control de fuentes, inertización</t>
  </si>
  <si>
    <t>Campos electromagnéticos</t>
  </si>
  <si>
    <t>Efectos fisiológicos</t>
  </si>
  <si>
    <t>Distancia segura, blindaje</t>
  </si>
  <si>
    <t>No aplica EPP específico; priorizar distancia y blindaje</t>
  </si>
  <si>
    <t>Ahogamiento</t>
  </si>
  <si>
    <t>Muerte</t>
  </si>
  <si>
    <t>Barandales, salvavidas, capacitación</t>
  </si>
  <si>
    <t>Fuego</t>
  </si>
  <si>
    <t>Quemaduras severas</t>
  </si>
  <si>
    <t>Extintores, rociadores, detección</t>
  </si>
  <si>
    <t>Herramientas</t>
  </si>
  <si>
    <t>Cuchillas/puntas</t>
  </si>
  <si>
    <t>Guantes, resguardos</t>
  </si>
  <si>
    <t>Herramientas manuales</t>
  </si>
  <si>
    <t>Capacitación, herramientas en buen estado</t>
  </si>
  <si>
    <t>Partículas expulsadas</t>
  </si>
  <si>
    <t>Lesión ocular</t>
  </si>
  <si>
    <t>Gafas, pantallas</t>
  </si>
  <si>
    <t>Vibración herramientas</t>
  </si>
  <si>
    <t>Daño circulatorio</t>
  </si>
  <si>
    <t>Rotación, antivibración</t>
  </si>
  <si>
    <t>Ruido herramientas</t>
  </si>
  <si>
    <t>Hipoacusia</t>
  </si>
  <si>
    <t>Barreras, EPP auditivo</t>
  </si>
  <si>
    <t>Eléctrico</t>
  </si>
  <si>
    <t>Conductores energizados</t>
  </si>
  <si>
    <t>Electrocución</t>
  </si>
  <si>
    <t>LOTO, detección de voltaje, EPP clase 0/00</t>
  </si>
  <si>
    <t>Conductores dañados</t>
  </si>
  <si>
    <t>Inspección, reemplazo inmediato</t>
  </si>
  <si>
    <t>EPP arc flash, distancia segura</t>
  </si>
  <si>
    <t>Carga electrostática</t>
  </si>
  <si>
    <t>Puesta a tierra, control de humedad</t>
  </si>
  <si>
    <t>Ropa antiestática, calzado conductivo, pulsera de tierra (según proceso)</t>
  </si>
  <si>
    <t>Psicosocial</t>
  </si>
  <si>
    <t>Presión laboral</t>
  </si>
  <si>
    <t>Errores</t>
  </si>
  <si>
    <t>Gestión de carga, pausas</t>
  </si>
  <si>
    <t>Falta de familiaridad</t>
  </si>
  <si>
    <t>Capacitación, inducción</t>
  </si>
  <si>
    <t>Fatiga</t>
  </si>
  <si>
    <t>Error crítico</t>
  </si>
  <si>
    <t>Pausas, turnos adecuados</t>
  </si>
  <si>
    <t>Trabajo en solitario</t>
  </si>
  <si>
    <t>Respuesta tardía</t>
  </si>
  <si>
    <t>Monitoreo, radios</t>
  </si>
  <si>
    <t>Mala organización</t>
  </si>
  <si>
    <t>Incidentes</t>
  </si>
  <si>
    <t>5S, planificación</t>
  </si>
  <si>
    <t>Actividades de trabajo</t>
  </si>
  <si>
    <t>Prueba de producto</t>
  </si>
  <si>
    <t>Fugas</t>
  </si>
  <si>
    <t>Bloqueos, procedimientos</t>
  </si>
  <si>
    <t>Conducir</t>
  </si>
  <si>
    <t>Accidente</t>
  </si>
  <si>
    <t>Capacitación defensiva, mantenimiento del vehículo</t>
  </si>
  <si>
    <t>Trabajo móvil</t>
  </si>
  <si>
    <t>Lesiones</t>
  </si>
  <si>
    <t>Evaluación de ruta, señalización</t>
  </si>
  <si>
    <t>Animales/plantas</t>
  </si>
  <si>
    <t>Mordidas</t>
  </si>
  <si>
    <t>Control de fauna, EPP</t>
  </si>
  <si>
    <t>Contratistas</t>
  </si>
  <si>
    <t>Accidentes severos</t>
  </si>
  <si>
    <t>Permisos, supervisión</t>
  </si>
  <si>
    <t>Ergonomía</t>
  </si>
  <si>
    <t>Levantamiento manual</t>
  </si>
  <si>
    <t>Lumbalgia</t>
  </si>
  <si>
    <t>Técnica adecuada, ayudas mecánicas</t>
  </si>
  <si>
    <t>Empuje/jalón</t>
  </si>
  <si>
    <t>Lesión muscular</t>
  </si>
  <si>
    <t>Carritos, ergonomía</t>
  </si>
  <si>
    <t>Movimientos repetitivos</t>
  </si>
  <si>
    <t>Tendinitis</t>
  </si>
  <si>
    <t>Rotación, ergonomía</t>
  </si>
  <si>
    <t>Mala postura</t>
  </si>
  <si>
    <t>Lesión lumbar</t>
  </si>
  <si>
    <t>Ergonomía, pausas activas</t>
  </si>
  <si>
    <t>Agarre deficiente</t>
  </si>
  <si>
    <t>Pérdida de control</t>
  </si>
  <si>
    <t>Herramientas ergonómicas</t>
  </si>
  <si>
    <t>Postura prolongada</t>
  </si>
  <si>
    <t>Dolor crónico</t>
  </si>
  <si>
    <t>Pausas activas</t>
  </si>
  <si>
    <t>Torsión</t>
  </si>
  <si>
    <t>Ergonomía, capacitación</t>
  </si>
  <si>
    <t>Arrodillarse</t>
  </si>
  <si>
    <t>Lesión de rodilla</t>
  </si>
  <si>
    <t>Rodilleras, alternancia</t>
  </si>
  <si>
    <t>Trabajo estático</t>
  </si>
  <si>
    <t>Pandemia</t>
  </si>
  <si>
    <t>Enfermedad severa</t>
  </si>
  <si>
    <t>Protocolos, EPP, higiene</t>
  </si>
  <si>
    <t>Químicos</t>
  </si>
  <si>
    <t>Gases tóxicos</t>
  </si>
  <si>
    <t>Detectores, SCBA, ventilación</t>
  </si>
  <si>
    <t>Líquidos tóxicos</t>
  </si>
  <si>
    <t>Quemaduras</t>
  </si>
  <si>
    <t>Duchas de emergencia, EPP químico</t>
  </si>
  <si>
    <t>Polvos tóxicos</t>
  </si>
  <si>
    <t>Enfermedad respiratoria</t>
  </si>
  <si>
    <t>Respiradores, contención</t>
  </si>
  <si>
    <t>Corrosivos</t>
  </si>
  <si>
    <t>Material compatible, neutralizantes</t>
  </si>
  <si>
    <t>Inflamables</t>
  </si>
  <si>
    <t>Ventilación, control de chispas</t>
  </si>
  <si>
    <t>Explosivos</t>
  </si>
  <si>
    <t>Almacenamiento clase, aislamiento</t>
  </si>
  <si>
    <t>Irritantes</t>
  </si>
  <si>
    <t>Dermatitis</t>
  </si>
  <si>
    <t>Guantes, ventilación</t>
  </si>
  <si>
    <t>Respiratorios irritantes</t>
  </si>
  <si>
    <t>Respiradores, detectores</t>
  </si>
  <si>
    <t>Oxidantes</t>
  </si>
  <si>
    <t>Separación química, ventilación</t>
  </si>
  <si>
    <t>Asbesto</t>
  </si>
  <si>
    <t>Cáncer</t>
  </si>
  <si>
    <t>Encapsulado, retiro especializado</t>
  </si>
  <si>
    <t>Respirador P100, overol desechable, guantes, goggles</t>
  </si>
  <si>
    <t>Robo</t>
  </si>
  <si>
    <t>Pérdida</t>
  </si>
  <si>
    <t>CCTV, control de accesos</t>
  </si>
  <si>
    <t>No aplica EPP; medidas administrativas y control de accesos</t>
  </si>
  <si>
    <t>Daño a propiedad</t>
  </si>
  <si>
    <t>Reparaciones</t>
  </si>
  <si>
    <t>Protecciones físicas, mantenimiento</t>
  </si>
  <si>
    <t>Allanamiento</t>
  </si>
  <si>
    <t>Riesgo al personal</t>
  </si>
  <si>
    <t>Seguridad, control de accesos</t>
  </si>
  <si>
    <t>Vandalismo</t>
  </si>
  <si>
    <t>Pérdidas</t>
  </si>
  <si>
    <t>Vigilancia, iluminación</t>
  </si>
  <si>
    <t>Condicion</t>
  </si>
  <si>
    <t>Env or H&amp;S</t>
  </si>
  <si>
    <t>Rutinario</t>
  </si>
  <si>
    <t>No rutinario</t>
  </si>
  <si>
    <t xml:space="preserve">Emergencia </t>
  </si>
  <si>
    <t>Nivel de control</t>
  </si>
  <si>
    <t>Control</t>
  </si>
  <si>
    <t>Influencia</t>
  </si>
  <si>
    <t>emissions to air</t>
  </si>
  <si>
    <t>pollution of land</t>
  </si>
  <si>
    <t>discharge of water</t>
  </si>
  <si>
    <t>use of materials / natural resources</t>
  </si>
  <si>
    <t>solid waste management</t>
  </si>
  <si>
    <t>hazardous waste</t>
  </si>
  <si>
    <t>Ankle (s)</t>
  </si>
  <si>
    <t>Abdomen</t>
  </si>
  <si>
    <t>Arm (s)</t>
  </si>
  <si>
    <t>Back/ Spine</t>
  </si>
  <si>
    <t>Bottuck (s)/Groin</t>
  </si>
  <si>
    <t>Central Nervous System</t>
  </si>
  <si>
    <t>Digestive (Mouth/Stomach)</t>
  </si>
  <si>
    <t>Ear (s)</t>
  </si>
  <si>
    <t>Elbow (s)</t>
  </si>
  <si>
    <t>Eye (s)</t>
  </si>
  <si>
    <t>Face/ Jaw</t>
  </si>
  <si>
    <t>Foot/Feet</t>
  </si>
  <si>
    <t>Finger(s)</t>
  </si>
  <si>
    <t>Hand(s)</t>
  </si>
  <si>
    <t>Head</t>
  </si>
  <si>
    <t>Hip (s)/Thigh (s)</t>
  </si>
  <si>
    <t>Internal Injury</t>
  </si>
  <si>
    <t>Knee (s)</t>
  </si>
  <si>
    <t>Leg (s)</t>
  </si>
  <si>
    <t>Mouth/ Teeth</t>
  </si>
  <si>
    <t>Neck</t>
  </si>
  <si>
    <t>Respiratory (Nose/ Mouth/ Lungs)</t>
  </si>
  <si>
    <t>Ribs/ Breast/ Chest</t>
  </si>
  <si>
    <t>Shoulder(s)</t>
  </si>
  <si>
    <t>Systemic</t>
  </si>
  <si>
    <t>throat/ Neck</t>
  </si>
  <si>
    <t>Toe (s)</t>
  </si>
  <si>
    <t>Trunk/ Torso</t>
  </si>
  <si>
    <t>Wrist(s)</t>
  </si>
  <si>
    <t>EMPLOYEE SAFETY RESPONSIILITIES &amp; INSTRUCTIONS: Conduct a Pre-Operation Safety Inspection of Work Area, Tools, Equipment and PPE Before Performing Job.  Insist on quality and effective training before you start any job or task.  Bring recognized hazards to the attention of your supervisor, and insist the hazard be addressed.   Stop and report unsafe behavior that puts you or others at risk. Report any work procedure that requires you to work unsafely, and insist it be changed.   Stop any job that puts you or others at an unacceptable (intolerable) level of risk.   Submit ideas to eliminate hazards or unsafe actions.   This JHA will be made readily available for use and reference by all affected users.</t>
  </si>
  <si>
    <t>Required PPE</t>
  </si>
  <si>
    <t>Eyes</t>
  </si>
  <si>
    <t>Safety Glasses</t>
  </si>
  <si>
    <t>Safety Glasses (filtered lens)</t>
  </si>
  <si>
    <t>Chemical Goggles</t>
  </si>
  <si>
    <t>UV Protective Safety glasses</t>
  </si>
  <si>
    <t>Face</t>
  </si>
  <si>
    <t>Face Shield</t>
  </si>
  <si>
    <t>Filter Face Shield</t>
  </si>
  <si>
    <t xml:space="preserve">Hard hat </t>
  </si>
  <si>
    <t>Bump Cap</t>
  </si>
  <si>
    <t>Ears</t>
  </si>
  <si>
    <t>Hearing Protection/Ear Plugs</t>
  </si>
  <si>
    <t xml:space="preserve">Dual Hearing Protection </t>
  </si>
  <si>
    <t>Hands</t>
  </si>
  <si>
    <t>Chemical Resistant gloves*</t>
  </si>
  <si>
    <t>Leather Work Gloves (over wrist)</t>
  </si>
  <si>
    <t>Cut Resistant Gloves</t>
  </si>
  <si>
    <t>Protective Sleeves</t>
  </si>
  <si>
    <t>Feet</t>
  </si>
  <si>
    <t>Safety Shoes - slip resistant or full covering</t>
  </si>
  <si>
    <t>Safety Shoes - Steel or Composite Toed</t>
  </si>
  <si>
    <t>Safety Shoes - Metatarsal</t>
  </si>
  <si>
    <t>Respiratory</t>
  </si>
  <si>
    <t>Respiratory Protection</t>
  </si>
  <si>
    <t>PAPR Respiratory System</t>
  </si>
  <si>
    <t>Supplied Air Respirator System</t>
  </si>
  <si>
    <t>Electrical Safety</t>
  </si>
  <si>
    <t>FR Electrical Safety Gloves</t>
  </si>
  <si>
    <t>FR Electical Clothing</t>
  </si>
  <si>
    <t>ESD Safety Shoes</t>
  </si>
  <si>
    <t>FR Electrical Protective Suit</t>
  </si>
  <si>
    <t>FR Head Protection</t>
  </si>
  <si>
    <t>FR Sleeves</t>
  </si>
  <si>
    <t>FR Face Shield</t>
  </si>
  <si>
    <t>Chemical Handling</t>
  </si>
  <si>
    <t>Chemical Resistant apron</t>
  </si>
  <si>
    <t>Chemical Protective Clothing</t>
  </si>
  <si>
    <t>Chemical Resistant Gloves</t>
  </si>
  <si>
    <t>Chemical Protective Suit</t>
  </si>
  <si>
    <t>Welding Protection **</t>
  </si>
  <si>
    <t>Welding Glasses/ Goggles **</t>
  </si>
  <si>
    <t>Welding Face Shield **</t>
  </si>
  <si>
    <t>Welding Mask/ Helmet**</t>
  </si>
  <si>
    <t>Welding clothes</t>
  </si>
  <si>
    <t>Welding Gloves</t>
  </si>
  <si>
    <t>Welding Cap/ Doo Rag</t>
  </si>
  <si>
    <t xml:space="preserve">Fall Protection </t>
  </si>
  <si>
    <t>Anchor</t>
  </si>
  <si>
    <t>Full Body Harness</t>
  </si>
  <si>
    <t>Body Belt</t>
  </si>
  <si>
    <t>Fall Arrest System</t>
  </si>
  <si>
    <t>Harness</t>
  </si>
  <si>
    <t>Lifeline/Limiters</t>
  </si>
  <si>
    <t>Lanyard</t>
  </si>
  <si>
    <t>Other</t>
  </si>
  <si>
    <t>(Describe)</t>
  </si>
  <si>
    <t>* Follow Manufacturers chemical compatibility chart to select appropriate gloves.</t>
  </si>
  <si>
    <t>** Follow regulatory PPE requirements and ANSI / AWS Shade Number Recommendation</t>
  </si>
  <si>
    <t>Reduction</t>
  </si>
  <si>
    <t>NO CONTROLS</t>
  </si>
  <si>
    <t>PPE</t>
  </si>
  <si>
    <t>TRAINING</t>
  </si>
  <si>
    <t>ADMINISTRATIVE</t>
  </si>
  <si>
    <t>CONTROLS WITH EMPLOYEE EXPOSURE</t>
  </si>
  <si>
    <t>CONTROLS ELIMINATE EMPLOYEE EXPOSURE</t>
  </si>
  <si>
    <t>SUBSTITUTION</t>
  </si>
  <si>
    <t xml:space="preserve">Remarks </t>
  </si>
  <si>
    <t>Please Use the second tab of the spreadsheet to create your Safety RA form</t>
  </si>
  <si>
    <t>Please ensure the form you created has the Document Number, Title and Revision for traceabilty to the form itself.</t>
  </si>
  <si>
    <t>Following is an example of form created with Document Number, Title and Revision. Please remove this remark when creating your template/ form</t>
  </si>
  <si>
    <t>Please insert page number in the footer of the spreadsheet you have created</t>
  </si>
  <si>
    <t xml:space="preserve">Please insert sheet name for tab in the footer under page layout </t>
  </si>
  <si>
    <t>CATEGORIAS</t>
  </si>
  <si>
    <t>EPP adecuado</t>
  </si>
  <si>
    <t>Permisos</t>
  </si>
  <si>
    <t>Barandales</t>
  </si>
  <si>
    <t>Manómetros</t>
  </si>
  <si>
    <t>Control de fauna</t>
  </si>
  <si>
    <t>Protecciones físicas</t>
  </si>
  <si>
    <t>EPP arc flash</t>
  </si>
  <si>
    <t>Rodilleras</t>
  </si>
  <si>
    <t>Encapsulado</t>
  </si>
  <si>
    <t>Cubiertas en partes móviles</t>
  </si>
  <si>
    <t>Guantes anticorte</t>
  </si>
  <si>
    <t>Ventilación</t>
  </si>
  <si>
    <t>Hidratación</t>
  </si>
  <si>
    <t>Distancia segura</t>
  </si>
  <si>
    <t>Puesta a tierra</t>
  </si>
  <si>
    <t>Zona de exclusión</t>
  </si>
  <si>
    <t>Rutas señalizadas</t>
  </si>
  <si>
    <t>Aseguramiento de carga</t>
  </si>
  <si>
    <t>Limpieza</t>
  </si>
  <si>
    <t>Arnés</t>
  </si>
  <si>
    <t>Refugios</t>
  </si>
  <si>
    <t>Capacitación defensiva</t>
  </si>
  <si>
    <t>Inspección</t>
  </si>
  <si>
    <t>LOTO</t>
  </si>
  <si>
    <t>Material compatible</t>
  </si>
  <si>
    <t>Guantes</t>
  </si>
  <si>
    <t>Carritos</t>
  </si>
  <si>
    <t>&lt;openpyxl.worksheet.formula.ArrayFormula object at 0x7fa0d06efdd0&gt;</t>
  </si>
  <si>
    <t>Monitoreo de gases</t>
  </si>
  <si>
    <t>Almacenamiento clase</t>
  </si>
  <si>
    <t>Careta</t>
  </si>
  <si>
    <t>Capacitación</t>
  </si>
  <si>
    <t>Pausas</t>
  </si>
  <si>
    <t>Ropa térmica</t>
  </si>
  <si>
    <t>Extintores</t>
  </si>
  <si>
    <t>Detectores</t>
  </si>
  <si>
    <t>Casco</t>
  </si>
  <si>
    <t>Control de humedad</t>
  </si>
  <si>
    <t>Control de fuentes</t>
  </si>
  <si>
    <t>Protección de mangueras</t>
  </si>
  <si>
    <t>Técnica adecuada</t>
  </si>
  <si>
    <t>Filtros</t>
  </si>
  <si>
    <t>Duchas de emergencia</t>
  </si>
  <si>
    <t>5S</t>
  </si>
  <si>
    <t>Almacenamiento seguro</t>
  </si>
  <si>
    <t>Bloqueo de área</t>
  </si>
  <si>
    <t>Rotación</t>
  </si>
  <si>
    <t>Protección superior</t>
  </si>
  <si>
    <t>Orden y limpieza</t>
  </si>
  <si>
    <t>Separación química</t>
  </si>
  <si>
    <t>Protocolos</t>
  </si>
  <si>
    <t>Resguardos mecánicos</t>
  </si>
  <si>
    <t>Gafas</t>
  </si>
  <si>
    <t>Higiene</t>
  </si>
  <si>
    <t>Iluminación adecuada</t>
  </si>
  <si>
    <t>Respiradores</t>
  </si>
  <si>
    <t>Gestión de carga</t>
  </si>
  <si>
    <t>Bloqueos</t>
  </si>
  <si>
    <t>Barreras</t>
  </si>
  <si>
    <t>Blindaje</t>
  </si>
  <si>
    <t>Filtros UV</t>
  </si>
  <si>
    <t>Tapetes antideslizantes</t>
  </si>
  <si>
    <t>CCTV</t>
  </si>
  <si>
    <t>Controles de ingeniería</t>
  </si>
  <si>
    <t>Detección previa</t>
  </si>
  <si>
    <t>Válvulas de alivio</t>
  </si>
  <si>
    <t>Aislamiento térmico</t>
  </si>
  <si>
    <t>Sistemas anti-caídas</t>
  </si>
  <si>
    <t>Monitoreo</t>
  </si>
  <si>
    <t>Evaluación de ruta</t>
  </si>
  <si>
    <t>Vigilancia</t>
  </si>
  <si>
    <t>Zonas peatonales</t>
  </si>
  <si>
    <t>Herramientas antivibración</t>
  </si>
  <si>
    <t>resguardos</t>
  </si>
  <si>
    <t>coordinación</t>
  </si>
  <si>
    <t>salvavidas</t>
  </si>
  <si>
    <t>control de accesos</t>
  </si>
  <si>
    <t>válvulas reguladoras</t>
  </si>
  <si>
    <t>EPP</t>
  </si>
  <si>
    <t>distancia segura</t>
  </si>
  <si>
    <t>alternancia</t>
  </si>
  <si>
    <t>retiro especializado</t>
  </si>
  <si>
    <t>ropa ajustada</t>
  </si>
  <si>
    <t>detectores de gas</t>
  </si>
  <si>
    <t>descansos</t>
  </si>
  <si>
    <t>blindaje</t>
  </si>
  <si>
    <t>control de humedad</t>
  </si>
  <si>
    <t>radios</t>
  </si>
  <si>
    <t>spotters</t>
  </si>
  <si>
    <t>pruebas de estabilidad</t>
  </si>
  <si>
    <t>señalización</t>
  </si>
  <si>
    <t>líneas de vida</t>
  </si>
  <si>
    <t>rotación de trabajo</t>
  </si>
  <si>
    <t>mantenimiento del vehículo</t>
  </si>
  <si>
    <t>reemplazo inmediato</t>
  </si>
  <si>
    <t>detección de voltaje</t>
  </si>
  <si>
    <t>supervisión</t>
  </si>
  <si>
    <t>neutralizantes</t>
  </si>
  <si>
    <t>mantenimiento</t>
  </si>
  <si>
    <t>ergonomía</t>
  </si>
  <si>
    <t>ventilación</t>
  </si>
  <si>
    <t>aislamiento</t>
  </si>
  <si>
    <t>gafas de seguridad</t>
  </si>
  <si>
    <t>inducción</t>
  </si>
  <si>
    <t>turnos adecuados</t>
  </si>
  <si>
    <t>refugios</t>
  </si>
  <si>
    <t>rociadores</t>
  </si>
  <si>
    <t>SCBA</t>
  </si>
  <si>
    <t>orden y limpieza</t>
  </si>
  <si>
    <t>herramientas en buen estado</t>
  </si>
  <si>
    <t>secado de superficies</t>
  </si>
  <si>
    <t>inertización</t>
  </si>
  <si>
    <t>control de chispas</t>
  </si>
  <si>
    <t>bloqueo de energía</t>
  </si>
  <si>
    <t>ayudas mecánicas</t>
  </si>
  <si>
    <t>disipación controlada de energía</t>
  </si>
  <si>
    <t>EPP químico</t>
  </si>
  <si>
    <t>planificación</t>
  </si>
  <si>
    <t>pausas activas</t>
  </si>
  <si>
    <t>extintores</t>
  </si>
  <si>
    <t>almacenamiento seguro</t>
  </si>
  <si>
    <t>rutas despejadas</t>
  </si>
  <si>
    <t>pantallas</t>
  </si>
  <si>
    <t>EPP biológico</t>
  </si>
  <si>
    <t>mantenimiento de lámparas</t>
  </si>
  <si>
    <t>contención</t>
  </si>
  <si>
    <t>pausas</t>
  </si>
  <si>
    <t>procedimientos</t>
  </si>
  <si>
    <t>monitoreo</t>
  </si>
  <si>
    <t>monitoreo dosimétrico</t>
  </si>
  <si>
    <t>protección ocular</t>
  </si>
  <si>
    <t>control de derrames</t>
  </si>
  <si>
    <t>detectores</t>
  </si>
  <si>
    <t>barreras acústicas</t>
  </si>
  <si>
    <t>EPP auditivo</t>
  </si>
  <si>
    <t>planos actualizados</t>
  </si>
  <si>
    <t>inspecciones periódicas</t>
  </si>
  <si>
    <t>capacitación</t>
  </si>
  <si>
    <t>inspección de equipo</t>
  </si>
  <si>
    <t>iluminación</t>
  </si>
  <si>
    <t>speed bumps</t>
  </si>
  <si>
    <t>rotación de tareas</t>
  </si>
  <si>
    <t>antivibración</t>
  </si>
  <si>
    <t>superficies lisas</t>
  </si>
  <si>
    <t>inducción de seguridad</t>
  </si>
  <si>
    <t>mantenimiento preventivo</t>
  </si>
  <si>
    <t>sensores de presencia</t>
  </si>
  <si>
    <t>inspección de herramientas</t>
  </si>
  <si>
    <t>respiradores</t>
  </si>
  <si>
    <t>sombra</t>
  </si>
  <si>
    <t>equipo certificado</t>
  </si>
  <si>
    <t>equipo de izaje certificado</t>
  </si>
  <si>
    <t>uso de cinchos y eslingas certificadas</t>
  </si>
  <si>
    <t>calzado antiderrapante</t>
  </si>
  <si>
    <t>barandales</t>
  </si>
  <si>
    <t>EPP clase 0/00</t>
  </si>
  <si>
    <t>permisos de entrada</t>
  </si>
  <si>
    <t>pantallas protectoras</t>
  </si>
  <si>
    <t>calentadores</t>
  </si>
  <si>
    <t>detección</t>
  </si>
  <si>
    <t>válvulas de seguridad</t>
  </si>
  <si>
    <t>higiene</t>
  </si>
  <si>
    <t>sensores</t>
  </si>
  <si>
    <t>desinfección</t>
  </si>
  <si>
    <t>acceso restringido</t>
  </si>
  <si>
    <t>barreras</t>
  </si>
  <si>
    <t>tapones auditivos</t>
  </si>
  <si>
    <t>pruebas hidrostáticas</t>
  </si>
  <si>
    <t>guantes térmicos</t>
  </si>
  <si>
    <t>límites de exposición</t>
  </si>
  <si>
    <t>resguardos fijos</t>
  </si>
  <si>
    <t>capacitación en manejo seguro</t>
  </si>
  <si>
    <t>operador autorizado</t>
  </si>
  <si>
    <t>bloqueo de áreas</t>
  </si>
  <si>
    <t>andamios certificados</t>
  </si>
  <si>
    <t>NombreDefinido</t>
  </si>
  <si>
    <t>Abrasion_friccion_ctrl</t>
  </si>
  <si>
    <t>Actividad_de_terceros_ctrl</t>
  </si>
  <si>
    <t>Agarre_deficiente_ctrl</t>
  </si>
  <si>
    <t>Ahogamiento_ctrl</t>
  </si>
  <si>
    <t>Allanamiento_ctrl</t>
  </si>
  <si>
    <t>Alta_o_baja_presion_ctrl</t>
  </si>
  <si>
    <t>Animales_plantas_ctrl</t>
  </si>
  <si>
    <t>Aplastamiento_ctrl</t>
  </si>
  <si>
    <t>Arco_electrico_ctrl</t>
  </si>
  <si>
    <t>Arrodillarse_ctrl</t>
  </si>
  <si>
    <t>Asbesto_ctrl</t>
  </si>
  <si>
    <t>Atrapamiento_ctrl</t>
  </si>
  <si>
    <t>Bordes_afilados_ctrl</t>
  </si>
  <si>
    <t>Calidad_del_aire_ctrl</t>
  </si>
  <si>
    <t>Calor_excesivo_ctrl</t>
  </si>
  <si>
    <t>Campos_electromagneticos_ctrl</t>
  </si>
  <si>
    <t>Carga_electrostatica_ctrl</t>
  </si>
  <si>
    <t>Carga_suspendida_ctrl</t>
  </si>
  <si>
    <t>Cargas_en_movimiento_ctrl</t>
  </si>
  <si>
    <t>Cargas_inestables_ctrl</t>
  </si>
  <si>
    <t>Caida_a_nivel_ctrl</t>
  </si>
  <si>
    <t>Caidas_de_altura_ctrl</t>
  </si>
  <si>
    <t>Clima_extremo_ctrl</t>
  </si>
  <si>
    <t>Conducir_ctrl</t>
  </si>
  <si>
    <t>Conductores_danados_ctrl</t>
  </si>
  <si>
    <t>Conductores_energizados_ctrl</t>
  </si>
  <si>
    <t>Contratistas_ctrl</t>
  </si>
  <si>
    <t>Corrosivos_ctrl</t>
  </si>
  <si>
    <t>Cuchillas_puntas_ctrl</t>
  </si>
  <si>
    <t>Dano_a_propiedad_ctrl</t>
  </si>
  <si>
    <t>Empuje_jalon_ctrl</t>
  </si>
  <si>
    <t>Env_or_H_S_ctrl</t>
  </si>
  <si>
    <t>Espacio_confinado_ctrl</t>
  </si>
  <si>
    <t>Explosivos_ctrl</t>
  </si>
  <si>
    <t>Eyeccion_de_material_ctrl</t>
  </si>
  <si>
    <t>Falta_de_familiaridad_ctrl</t>
  </si>
  <si>
    <t>Fatiga_ctrl</t>
  </si>
  <si>
    <t>Frio_extremo_ctrl</t>
  </si>
  <si>
    <t>Fuego_ctrl</t>
  </si>
  <si>
    <t>Gases_toxicos_ctrl</t>
  </si>
  <si>
    <t>Golpes_con_objetos_ctrl</t>
  </si>
  <si>
    <t>Herramientas_manuales_ctrl</t>
  </si>
  <si>
    <t>Humedad_ctrl</t>
  </si>
  <si>
    <t>Ignicion_accidental_ctrl</t>
  </si>
  <si>
    <t>Inflamables_ctrl</t>
  </si>
  <si>
    <t>Inyeccion_por_presion_ctrl</t>
  </si>
  <si>
    <t>Irritantes_ctrl</t>
  </si>
  <si>
    <t>Levantamiento_manual_ctrl</t>
  </si>
  <si>
    <t>Liberacion_de_energia_ctrl</t>
  </si>
  <si>
    <t>Luz_excesiva_ctrl</t>
  </si>
  <si>
    <t>Liquidos_toxicos_ctrl</t>
  </si>
  <si>
    <t>Mala_organizacion_ctrl</t>
  </si>
  <si>
    <t>Mala_postura_ctrl</t>
  </si>
  <si>
    <t>Material_combustible_ctrl</t>
  </si>
  <si>
    <t>Materiales_suspendidos_ctrl</t>
  </si>
  <si>
    <t>Medio_Ambiente_ctrl</t>
  </si>
  <si>
    <t>Movimientos_repetitivos_ctrl</t>
  </si>
  <si>
    <t>Objetos_que_caen_ctrl</t>
  </si>
  <si>
    <t>Obstrucciones_ctrl</t>
  </si>
  <si>
    <t>Oxidantes_ctrl</t>
  </si>
  <si>
    <t>Pandemia_ctrl</t>
  </si>
  <si>
    <t>Partes_moviles_ctrl</t>
  </si>
  <si>
    <t>Particulas_expulsadas_ctrl</t>
  </si>
  <si>
    <t>Patogenos_ctrl</t>
  </si>
  <si>
    <t>Poca_iluminacion_ctrl</t>
  </si>
  <si>
    <t>Polvos_toxicos_ctrl</t>
  </si>
  <si>
    <t>Postura_prolongada_ctrl</t>
  </si>
  <si>
    <t>Presion_laboral_ctrl</t>
  </si>
  <si>
    <t>Prueba_de_producto_ctrl</t>
  </si>
  <si>
    <t>Radiacion_ctrl</t>
  </si>
  <si>
    <t>Radiacion_ionizante_ctrl</t>
  </si>
  <si>
    <t>Radiacion_no_ionizante_ctrl</t>
  </si>
  <si>
    <t>Resbalones_ctrl</t>
  </si>
  <si>
    <t>Respiratorios_irritantes_ctrl</t>
  </si>
  <si>
    <t>Robo_ctrl</t>
  </si>
  <si>
    <t>Ruido_ctrl</t>
  </si>
  <si>
    <t>Ruido_herramientas_ctrl</t>
  </si>
  <si>
    <t>Salud_ctrl</t>
  </si>
  <si>
    <t>Seguridad_ctrl</t>
  </si>
  <si>
    <t>Servicios_desconocidos_ctrl</t>
  </si>
  <si>
    <t>Sistema_de_presion_ctrl</t>
  </si>
  <si>
    <t>Superficie_caliente_fria_ctrl</t>
  </si>
  <si>
    <t>Torsion_ctrl</t>
  </si>
  <si>
    <t>Trabajo_en_altura_ctrl</t>
  </si>
  <si>
    <t>Trabajo_en_solitario_ctrl</t>
  </si>
  <si>
    <t>Trabajo_estatico_ctrl</t>
  </si>
  <si>
    <t>Trabajo_movil_ctrl</t>
  </si>
  <si>
    <t>Vandalismo_ctrl</t>
  </si>
  <si>
    <t>Vehiculos_trafico_ctrl</t>
  </si>
  <si>
    <t>Vibracion_ctrl</t>
  </si>
  <si>
    <t>Vibracion_herramientas_ctrl</t>
  </si>
  <si>
    <t>No aplica EPP</t>
  </si>
  <si>
    <t>Guantes dieléctricos (clase según voltaje)</t>
  </si>
  <si>
    <t>Respirador P100</t>
  </si>
  <si>
    <t>Guantes anticorte (nivel adecuado)</t>
  </si>
  <si>
    <t>Respirador (P100/químico) o SCBA según concentración</t>
  </si>
  <si>
    <t>Casco clase E</t>
  </si>
  <si>
    <t>No aplica EPP específico</t>
  </si>
  <si>
    <t>Ropa antiestática</t>
  </si>
  <si>
    <t>Arnés clase A</t>
  </si>
  <si>
    <t>Guantes térmicos</t>
  </si>
  <si>
    <t>&lt;openpyxl.worksheet.formula.ArrayFormula object at 0x7fa0d06efe00&gt;</t>
  </si>
  <si>
    <t>Protección facial integral</t>
  </si>
  <si>
    <t>N95</t>
  </si>
  <si>
    <t>Dosímetro</t>
  </si>
  <si>
    <t>Chaleco alta visibilidad clase 2/3</t>
  </si>
  <si>
    <t>lentes</t>
  </si>
  <si>
    <t>medidas administrativas y control de accesos</t>
  </si>
  <si>
    <t>calzado aislante</t>
  </si>
  <si>
    <t>overol desechable</t>
  </si>
  <si>
    <t>mangas anticorte</t>
  </si>
  <si>
    <t>goggles</t>
  </si>
  <si>
    <t>botas con casquillo</t>
  </si>
  <si>
    <t>priorizar distancia y blindaje</t>
  </si>
  <si>
    <t>calzado conductivo</t>
  </si>
  <si>
    <t>línea de vida con absorbedor</t>
  </si>
  <si>
    <t>ropa resistente al calor</t>
  </si>
  <si>
    <t>ropa FR/antiestática</t>
  </si>
  <si>
    <t>ropa térmica/FR según caso</t>
  </si>
  <si>
    <t>goggles o careta</t>
  </si>
  <si>
    <t>lentes plomados</t>
  </si>
  <si>
    <t>casco</t>
  </si>
  <si>
    <t>guantes y calzado de seguridad</t>
  </si>
  <si>
    <t>careta y ropa arc flash</t>
  </si>
  <si>
    <t>guantes</t>
  </si>
  <si>
    <t>lentes de seguridad</t>
  </si>
  <si>
    <t>guantes químicos</t>
  </si>
  <si>
    <t>guantes de trabajo</t>
  </si>
  <si>
    <t>pulsera de tierra (según proceso)</t>
  </si>
  <si>
    <t>casco con barboquejo</t>
  </si>
  <si>
    <t>visor térmico</t>
  </si>
  <si>
    <t>guantes desechables</t>
  </si>
  <si>
    <t>delantal plomado</t>
  </si>
  <si>
    <t>casco clase E</t>
  </si>
  <si>
    <t>chaleco alta visibilidad</t>
  </si>
  <si>
    <t>calzado dieléctrico</t>
  </si>
  <si>
    <t>bata/overol desechable</t>
  </si>
  <si>
    <t>Abrasion_friccion_epp</t>
  </si>
  <si>
    <t>Actividad_de_terceros_epp</t>
  </si>
  <si>
    <t>Agarre_deficiente_epp</t>
  </si>
  <si>
    <t>Ahogamiento_epp</t>
  </si>
  <si>
    <t>Allanamiento_epp</t>
  </si>
  <si>
    <t>Alta_o_baja_presion_epp</t>
  </si>
  <si>
    <t>Animales_plantas_epp</t>
  </si>
  <si>
    <t>Aplastamiento_epp</t>
  </si>
  <si>
    <t>Arco_electrico_epp</t>
  </si>
  <si>
    <t>Arrodillarse_epp</t>
  </si>
  <si>
    <t>Asbesto_epp</t>
  </si>
  <si>
    <t>Atrapamiento_epp</t>
  </si>
  <si>
    <t>Bordes_afilados_epp</t>
  </si>
  <si>
    <t>Calidad_del_aire_epp</t>
  </si>
  <si>
    <t>Calor_excesivo_epp</t>
  </si>
  <si>
    <t>Campos_electromagneticos_epp</t>
  </si>
  <si>
    <t>Carga_electrostatica_epp</t>
  </si>
  <si>
    <t>Carga_suspendida_epp</t>
  </si>
  <si>
    <t>Cargas_en_movimiento_epp</t>
  </si>
  <si>
    <t>Cargas_inestables_epp</t>
  </si>
  <si>
    <t>Caida_a_nivel_epp</t>
  </si>
  <si>
    <t>Caidas_de_altura_epp</t>
  </si>
  <si>
    <t>Clima_extremo_epp</t>
  </si>
  <si>
    <t>Conducir_epp</t>
  </si>
  <si>
    <t>Conductores_danados_epp</t>
  </si>
  <si>
    <t>Conductores_energizados_epp</t>
  </si>
  <si>
    <t>Contratistas_epp</t>
  </si>
  <si>
    <t>Corrosivos_epp</t>
  </si>
  <si>
    <t>Cuchillas_puntas_epp</t>
  </si>
  <si>
    <t>Dano_a_propiedad_epp</t>
  </si>
  <si>
    <t>Empuje_jalon_epp</t>
  </si>
  <si>
    <t>Env_or_H_S_epp</t>
  </si>
  <si>
    <t>Espacio_confinado_epp</t>
  </si>
  <si>
    <t>Explosivos_epp</t>
  </si>
  <si>
    <t>Eyeccion_de_material_epp</t>
  </si>
  <si>
    <t>Falta_de_familiaridad_epp</t>
  </si>
  <si>
    <t>Fatiga_epp</t>
  </si>
  <si>
    <t>Frio_extremo_epp</t>
  </si>
  <si>
    <t>Fuego_epp</t>
  </si>
  <si>
    <t>Gases_toxicos_epp</t>
  </si>
  <si>
    <t>Golpes_con_objetos_epp</t>
  </si>
  <si>
    <t>Herramientas_manuales_epp</t>
  </si>
  <si>
    <t>Humedad_epp</t>
  </si>
  <si>
    <t>Ignicion_accidental_epp</t>
  </si>
  <si>
    <t>Inflamables_epp</t>
  </si>
  <si>
    <t>Inyeccion_por_presion_epp</t>
  </si>
  <si>
    <t>Irritantes_epp</t>
  </si>
  <si>
    <t>Levantamiento_manual_epp</t>
  </si>
  <si>
    <t>Liberacion_de_energia_epp</t>
  </si>
  <si>
    <t>Luz_excesiva_epp</t>
  </si>
  <si>
    <t>Liquidos_toxicos_epp</t>
  </si>
  <si>
    <t>Mala_organizacion_epp</t>
  </si>
  <si>
    <t>Mala_postura_epp</t>
  </si>
  <si>
    <t>Material_combustible_epp</t>
  </si>
  <si>
    <t>Materiales_suspendidos_epp</t>
  </si>
  <si>
    <t>Movimientos_repetitivos_epp</t>
  </si>
  <si>
    <t>Objetos_que_caen_epp</t>
  </si>
  <si>
    <t>Obstrucciones_epp</t>
  </si>
  <si>
    <t>Oxidantes_epp</t>
  </si>
  <si>
    <t>Pandemia_epp</t>
  </si>
  <si>
    <t>Partes_moviles_epp</t>
  </si>
  <si>
    <t>Particulas_expulsadas_epp</t>
  </si>
  <si>
    <t>Patogenos_epp</t>
  </si>
  <si>
    <t>Poca_iluminacion_epp</t>
  </si>
  <si>
    <t>Polvos_toxicos_epp</t>
  </si>
  <si>
    <t>Postura_prolongada_epp</t>
  </si>
  <si>
    <t>Presion_laboral_epp</t>
  </si>
  <si>
    <t>Prueba_de_producto_epp</t>
  </si>
  <si>
    <t>Radiacion_epp</t>
  </si>
  <si>
    <t>Radiacion_ionizante_epp</t>
  </si>
  <si>
    <t>Radiacion_no_ionizante_epp</t>
  </si>
  <si>
    <t>Resbalones_epp</t>
  </si>
  <si>
    <t>Respiratorios_irritantes_epp</t>
  </si>
  <si>
    <t>Robo_epp</t>
  </si>
  <si>
    <t>Ruido_epp</t>
  </si>
  <si>
    <t>Ruido_herramientas_epp</t>
  </si>
  <si>
    <t>Servicios_desconocidos_epp</t>
  </si>
  <si>
    <t>Sistema_de_presion_epp</t>
  </si>
  <si>
    <t>Superficie_caliente_fria_epp</t>
  </si>
  <si>
    <t>Torsion_epp</t>
  </si>
  <si>
    <t>Trabajo_en_altura_epp</t>
  </si>
  <si>
    <t>Trabajo_en_solitario_epp</t>
  </si>
  <si>
    <t>Trabajo_estatico_epp</t>
  </si>
  <si>
    <t>Trabajo_movil_epp</t>
  </si>
  <si>
    <t>Vandalismo_epp</t>
  </si>
  <si>
    <t>Vehiculos_trafico_epp</t>
  </si>
  <si>
    <t>Vibracion_epp</t>
  </si>
  <si>
    <t>Vibracion_herramientas_epp</t>
  </si>
  <si>
    <t>Colisiones/interferencias</t>
  </si>
  <si>
    <t>Asfixia por inmersión</t>
  </si>
  <si>
    <t>Mordeduras/picaduras</t>
  </si>
  <si>
    <t>Quemaduras por arco</t>
  </si>
  <si>
    <t>Asbestosis</t>
  </si>
  <si>
    <t>Irritación respiratoria</t>
  </si>
  <si>
    <t>Interferencia en dispositivos médicos</t>
  </si>
  <si>
    <t>Descarga/choque estático</t>
  </si>
  <si>
    <t>Golpe por caída</t>
  </si>
  <si>
    <t>Caída de carga</t>
  </si>
  <si>
    <t>Esguinces</t>
  </si>
  <si>
    <t>Trauma craneoencefálico</t>
  </si>
  <si>
    <t>Hipotermia/hipertermia</t>
  </si>
  <si>
    <t>Colisiones</t>
  </si>
  <si>
    <t>Incidentes por coordinación</t>
  </si>
  <si>
    <t>Quemadura química</t>
  </si>
  <si>
    <t>Pérdidas económicas</t>
  </si>
  <si>
    <t>Onda expansiva</t>
  </si>
  <si>
    <t>Errores de procedimiento</t>
  </si>
  <si>
    <t>Disminución de vigilancia</t>
  </si>
  <si>
    <t>Quemaduras térmicas</t>
  </si>
  <si>
    <t>Asfixia química</t>
  </si>
  <si>
    <t>Contusión</t>
  </si>
  <si>
    <t>Necrosis tisular</t>
  </si>
  <si>
    <t>Explosión local/estallido</t>
  </si>
  <si>
    <t>Deslumbramiento</t>
  </si>
  <si>
    <t>Intoxicación por contacto/inhalación</t>
  </si>
  <si>
    <t>Dolor lumbar</t>
  </si>
  <si>
    <t>Traumatismo craneal</t>
  </si>
  <si>
    <t>Reacción exotérmica</t>
  </si>
  <si>
    <t>Infección</t>
  </si>
  <si>
    <t>Tropiezos/caídas</t>
  </si>
  <si>
    <t>Neumoconiosis</t>
  </si>
  <si>
    <t>Estrés</t>
  </si>
  <si>
    <t>Fugas/derrames</t>
  </si>
  <si>
    <t>Lesión ocular/cutánea</t>
  </si>
  <si>
    <t>Daño celular/ADN</t>
  </si>
  <si>
    <t>Quemadura por UV</t>
  </si>
  <si>
    <t>Broncoespasmo</t>
  </si>
  <si>
    <t>Riesgo al personal (agresión)</t>
  </si>
  <si>
    <t>Estallido/explosión</t>
  </si>
  <si>
    <t>Quemadura térmica</t>
  </si>
  <si>
    <t>Respuesta tardía ante emergencias</t>
  </si>
  <si>
    <t>Fatiga muscular</t>
  </si>
  <si>
    <t>Caídas desde vehículo/plataforma</t>
  </si>
  <si>
    <t>Daño a infraestructura</t>
  </si>
  <si>
    <t>Trastorno mano-brazo (vascular/neurológico)</t>
  </si>
  <si>
    <t>Trastorno mano-brazo</t>
  </si>
  <si>
    <t>Quemadura por fricción</t>
  </si>
  <si>
    <t>Lesiones por coordinación deficiente</t>
  </si>
  <si>
    <t>Hipoxia severa</t>
  </si>
  <si>
    <t>Daños a instalaciones</t>
  </si>
  <si>
    <t>Hipoxia</t>
  </si>
  <si>
    <t>Alergias</t>
  </si>
  <si>
    <t>Fracturas múltiples</t>
  </si>
  <si>
    <t>Bursitis</t>
  </si>
  <si>
    <t>Cáncer de pulmón</t>
  </si>
  <si>
    <t>Laceraciones profundas</t>
  </si>
  <si>
    <t>Deshidratación</t>
  </si>
  <si>
    <t>Efectos térmicos locales</t>
  </si>
  <si>
    <t>Ignición de vapores</t>
  </si>
  <si>
    <t>Golpes/contusiones</t>
  </si>
  <si>
    <t>Contusiones</t>
  </si>
  <si>
    <t>Lesiones por viento y escombros</t>
  </si>
  <si>
    <t>Atropellamientos</t>
  </si>
  <si>
    <t>Interrupción del proceso</t>
  </si>
  <si>
    <t>Proyección de esquirlas</t>
  </si>
  <si>
    <t>Laceraciones</t>
  </si>
  <si>
    <t>Congelación</t>
  </si>
  <si>
    <t>Inhalación de humo</t>
  </si>
  <si>
    <t>Intoxicación aguda</t>
  </si>
  <si>
    <t>Laceración</t>
  </si>
  <si>
    <t>Choque eléctrico incrementado</t>
  </si>
  <si>
    <t>Síndrome compartimental</t>
  </si>
  <si>
    <t>Irritación ocular</t>
  </si>
  <si>
    <t>Proyección de fragmentos</t>
  </si>
  <si>
    <t>Fatiga ocular</t>
  </si>
  <si>
    <t>Retrasos/ineficiencias</t>
  </si>
  <si>
    <t>Trastornos musculoesqueléticos</t>
  </si>
  <si>
    <t>Síndrome del túnel carpiano</t>
  </si>
  <si>
    <t>Errores operativos</t>
  </si>
  <si>
    <t>Dolor lumbar/cervical</t>
  </si>
  <si>
    <t>Exposición a energías</t>
  </si>
  <si>
    <t>Fotoqueratitis/lesión ocular</t>
  </si>
  <si>
    <t>Tos persistente</t>
  </si>
  <si>
    <t>Pérdida de activos</t>
  </si>
  <si>
    <t>Tinnitus (zumbido)</t>
  </si>
  <si>
    <t>Tinnitus</t>
  </si>
  <si>
    <t>Fuga de gas/agua</t>
  </si>
  <si>
    <t>Lesión vertebral</t>
  </si>
  <si>
    <t>Golpe por caída de herramientas</t>
  </si>
  <si>
    <t>Mayor severidad del daño</t>
  </si>
  <si>
    <t>Dolor postural</t>
  </si>
  <si>
    <t>Interrupción operativa</t>
  </si>
  <si>
    <t>Colisión</t>
  </si>
  <si>
    <t>Entumecimiento</t>
  </si>
  <si>
    <t>Infección cutánea</t>
  </si>
  <si>
    <t>Daños a propiedad</t>
  </si>
  <si>
    <t>Paro cardiorrespiratorio</t>
  </si>
  <si>
    <t>Embolia gaseosa</t>
  </si>
  <si>
    <t>Infecciones</t>
  </si>
  <si>
    <t>Lesión interna</t>
  </si>
  <si>
    <t>Mesotelioma</t>
  </si>
  <si>
    <t>Asfixia mecánica</t>
  </si>
  <si>
    <t>Hemorragia</t>
  </si>
  <si>
    <t>Calambres por calor</t>
  </si>
  <si>
    <t>Cefaleas/malestar</t>
  </si>
  <si>
    <t>Quemaduras leves</t>
  </si>
  <si>
    <t>Fractura de muñeca/cadera</t>
  </si>
  <si>
    <t>Lesión medular</t>
  </si>
  <si>
    <t>Inundación</t>
  </si>
  <si>
    <t>Lesiones graves</t>
  </si>
  <si>
    <t>Fibrilación</t>
  </si>
  <si>
    <t>Lesión ocular severa</t>
  </si>
  <si>
    <t>Laceración profunda</t>
  </si>
  <si>
    <t>Riesgo secundario al personal</t>
  </si>
  <si>
    <t>Sobreesfuerzo</t>
  </si>
  <si>
    <t>Traumas severos</t>
  </si>
  <si>
    <t>Daño a equipos</t>
  </si>
  <si>
    <t>Disminución de destreza</t>
  </si>
  <si>
    <t>Quemadura pulmonar</t>
  </si>
  <si>
    <t>Fractura</t>
  </si>
  <si>
    <t>Dermatitis/moho</t>
  </si>
  <si>
    <t>Infección grave</t>
  </si>
  <si>
    <t>Tos</t>
  </si>
  <si>
    <t>Hernias</t>
  </si>
  <si>
    <t>Quemadura UV</t>
  </si>
  <si>
    <t>Omisión de EPP</t>
  </si>
  <si>
    <t>Inhalación de humo tóxico</t>
  </si>
  <si>
    <t>Ausentismo elevado</t>
  </si>
  <si>
    <t>Inhalación de polvo</t>
  </si>
  <si>
    <t>Fiebre</t>
  </si>
  <si>
    <t>Asma ocupacional</t>
  </si>
  <si>
    <t>Várices</t>
  </si>
  <si>
    <t>Errores críticos</t>
  </si>
  <si>
    <t>Quemaduras químicas/térmicas</t>
  </si>
  <si>
    <t>Daño celular</t>
  </si>
  <si>
    <t>Síndrome de irradiación</t>
  </si>
  <si>
    <t>Quemadura cutánea</t>
  </si>
  <si>
    <t>Irritación vías aéreas altas</t>
  </si>
  <si>
    <t>Ampollas</t>
  </si>
  <si>
    <t>Dolor agudo</t>
  </si>
  <si>
    <t>Suspensión prolongada</t>
  </si>
  <si>
    <t>Disminución de circulación</t>
  </si>
  <si>
    <t>Lesiones por tránsito</t>
  </si>
  <si>
    <t>Lesiones por agresión</t>
  </si>
  <si>
    <t>Trauma múltiple</t>
  </si>
  <si>
    <t>Dolor musculoesquelético</t>
  </si>
  <si>
    <t>Dolor</t>
  </si>
  <si>
    <t>Paros operativos</t>
  </si>
  <si>
    <t>Interrupción de seguridad</t>
  </si>
  <si>
    <t>Lesión auditiva</t>
  </si>
  <si>
    <t>Intoxicaciones</t>
  </si>
  <si>
    <t>Abrasión</t>
  </si>
  <si>
    <t>Fibrosis</t>
  </si>
  <si>
    <t>Lesiones por compresión</t>
  </si>
  <si>
    <t>Infección de herida</t>
  </si>
  <si>
    <t>Agotamiento por calor</t>
  </si>
  <si>
    <t>Daño electrónico</t>
  </si>
  <si>
    <t>Fallo de equipo</t>
  </si>
  <si>
    <t>Paros</t>
  </si>
  <si>
    <t>Daño respiratorio</t>
  </si>
  <si>
    <t>Retrabajos</t>
  </si>
  <si>
    <t>Pérdida de conciencia</t>
  </si>
  <si>
    <t>Lesiones musculares</t>
  </si>
  <si>
    <t>Lesión musculoesquelética</t>
  </si>
  <si>
    <t>Daño a la propiedad</t>
  </si>
  <si>
    <t>TCE leve</t>
  </si>
  <si>
    <t>Deterioro de equipos</t>
  </si>
  <si>
    <t>Daños a infraestructura</t>
  </si>
  <si>
    <t>Rinitis</t>
  </si>
  <si>
    <t>Lesión crónica</t>
  </si>
  <si>
    <t>Lesiones por onda expansiva</t>
  </si>
  <si>
    <t>Choques de actividades</t>
  </si>
  <si>
    <t>Corrosión</t>
  </si>
  <si>
    <t>Brote</t>
  </si>
  <si>
    <t>Cáncer (según agente)</t>
  </si>
  <si>
    <t>Trastornos musculares</t>
  </si>
  <si>
    <t>Cáncer (según exposición)</t>
  </si>
  <si>
    <t>Cataratas</t>
  </si>
  <si>
    <t>Irritación</t>
  </si>
  <si>
    <t>Golpe en la cabeza</t>
  </si>
  <si>
    <t>Asma</t>
  </si>
  <si>
    <t>Lesión por contacto</t>
  </si>
  <si>
    <t>Desgarro</t>
  </si>
  <si>
    <t>Trauma</t>
  </si>
  <si>
    <t>Violencia externa</t>
  </si>
  <si>
    <t>Calambres</t>
  </si>
  <si>
    <t>Abrasion_friccion</t>
  </si>
  <si>
    <t>Actividad_de_terceros</t>
  </si>
  <si>
    <t>Agarre_deficiente</t>
  </si>
  <si>
    <t>Alta_o_baja_presion</t>
  </si>
  <si>
    <t>Animales_plantas</t>
  </si>
  <si>
    <t>Arco_electrico</t>
  </si>
  <si>
    <t>Bordes_afilados</t>
  </si>
  <si>
    <t>Calidad_del_aire</t>
  </si>
  <si>
    <t>Calor_excesivo</t>
  </si>
  <si>
    <t>Campos_electromagneticos</t>
  </si>
  <si>
    <t>Carga_electrostatica</t>
  </si>
  <si>
    <t>Carga_suspendida</t>
  </si>
  <si>
    <t>Cargas_en_movimiento</t>
  </si>
  <si>
    <t>Cargas_inestables</t>
  </si>
  <si>
    <t>Caida_a_nivel</t>
  </si>
  <si>
    <t>Caidas_de_altura</t>
  </si>
  <si>
    <t>Clima_extremo</t>
  </si>
  <si>
    <t>Conductores_danados</t>
  </si>
  <si>
    <t>Conductores_energizados</t>
  </si>
  <si>
    <t>Cuchillas_puntas</t>
  </si>
  <si>
    <t>Dano_a_propiedad</t>
  </si>
  <si>
    <t>Empuje_jalon</t>
  </si>
  <si>
    <t>Espacio_confinado</t>
  </si>
  <si>
    <t>Eyeccion_de_material</t>
  </si>
  <si>
    <t>Falta_de_familiaridad</t>
  </si>
  <si>
    <t>Frio_extremo</t>
  </si>
  <si>
    <t>Gases_toxicos</t>
  </si>
  <si>
    <t>Golpes_con_objetos</t>
  </si>
  <si>
    <t>Herramientas_manuales</t>
  </si>
  <si>
    <t>Ignicion_accidental</t>
  </si>
  <si>
    <t>Inyeccion_por_presion</t>
  </si>
  <si>
    <t>Levantamiento_manual</t>
  </si>
  <si>
    <t>Liberacion_de_energia</t>
  </si>
  <si>
    <t>Luz_excesiva</t>
  </si>
  <si>
    <t>Liquidos_toxicos</t>
  </si>
  <si>
    <t>Mala_organizacion</t>
  </si>
  <si>
    <t>Mala_postura</t>
  </si>
  <si>
    <t>Material_combustible</t>
  </si>
  <si>
    <t>Materiales_suspendidos</t>
  </si>
  <si>
    <t>Movimientos_repetitivos</t>
  </si>
  <si>
    <t>Objetos_que_caen</t>
  </si>
  <si>
    <t>Partes_moviles</t>
  </si>
  <si>
    <t>Particulas_expulsadas</t>
  </si>
  <si>
    <t>Patogenos</t>
  </si>
  <si>
    <t>Poca_iluminacion</t>
  </si>
  <si>
    <t>Polvos_toxicos</t>
  </si>
  <si>
    <t>Postura_prolongada</t>
  </si>
  <si>
    <t>Presion_laboral</t>
  </si>
  <si>
    <t>Prueba_de_producto</t>
  </si>
  <si>
    <t>Radiacion</t>
  </si>
  <si>
    <t>Radiacion_ionizante</t>
  </si>
  <si>
    <t>Radiacion_no_ionizante</t>
  </si>
  <si>
    <t>Respiratorios_irritantes</t>
  </si>
  <si>
    <t>Ruido_herramientas</t>
  </si>
  <si>
    <t>Servicios_desconocidos</t>
  </si>
  <si>
    <t>Sistema_de_presion</t>
  </si>
  <si>
    <t>Superficie_caliente_fria</t>
  </si>
  <si>
    <t>Torsion</t>
  </si>
  <si>
    <t>Trabajo_en_altura</t>
  </si>
  <si>
    <t>Trabajo_en_solitario</t>
  </si>
  <si>
    <t>Trabajo_estatico</t>
  </si>
  <si>
    <t>Trabajo_movil</t>
  </si>
  <si>
    <t>Vehiculos_trafico</t>
  </si>
  <si>
    <t>Vibracion</t>
  </si>
  <si>
    <t>Vibracion_herramientas</t>
  </si>
  <si>
    <t>Categoria</t>
  </si>
  <si>
    <t>Actividades_de_trabajo</t>
  </si>
  <si>
    <t>Ergonomia</t>
  </si>
  <si>
    <t>Electrico</t>
  </si>
  <si>
    <t>Lugar_de_trabajo</t>
  </si>
  <si>
    <t>Quimicos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</si>
</sst>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36" x14ac:knownFonts="1">
    <font>
      <sz val="10"/>
      <name val="Arial"/>
      <family val="2"/>
    </font>
    <font>
      <sz val="11"/>
      <color theme="1"/>
      <name val="Calibri"/>
      <family val="2"/>
      <scheme val="minor"/>
    </font>
    <font>
      <sz val="11"/>
      <color theme="1"/>
      <name val="Calibri"/>
      <family val="2"/>
      <scheme val="minor"/>
    </font>
    <font>
      <sz val="10"/>
      <name val="Arial"/>
      <family val="2"/>
    </font>
    <font>
      <b/>
      <u/>
      <sz val="10"/>
      <name val="Arial"/>
      <family val="2"/>
    </font>
    <font>
      <sz val="16"/>
      <name val="Arial"/>
      <family val="2"/>
    </font>
    <font>
      <sz val="11"/>
      <color theme="1"/>
      <name val="Calibri"/>
      <family val="2"/>
      <scheme val="minor"/>
    </font>
    <font>
      <b/>
      <sz val="11"/>
      <color theme="1"/>
      <name val="Calibri"/>
      <family val="2"/>
      <scheme val="minor"/>
    </font>
    <font>
      <sz val="8"/>
      <color theme="1"/>
      <name val="Arial"/>
      <family val="2"/>
    </font>
    <font>
      <b/>
      <sz val="10"/>
      <color theme="1"/>
      <name val="Arial"/>
      <family val="2"/>
    </font>
    <font>
      <b/>
      <sz val="9.5"/>
      <color rgb="FFFF0000"/>
      <name val="Arial"/>
      <family val="2"/>
    </font>
    <font>
      <sz val="11"/>
      <color rgb="FF444444"/>
      <name val="Arial"/>
      <family val="2"/>
    </font>
    <font>
      <sz val="12"/>
      <color theme="1"/>
      <name val="Arial Narrow"/>
      <family val="2"/>
    </font>
    <font>
      <b/>
      <sz val="12"/>
      <color theme="0"/>
      <name val="Arial"/>
      <family val="2"/>
    </font>
    <font>
      <sz val="10"/>
      <color theme="1"/>
      <name val="Arial"/>
      <family val="2"/>
    </font>
    <font>
      <b/>
      <sz val="10"/>
      <color theme="0"/>
      <name val="Arial"/>
      <family val="2"/>
    </font>
    <font>
      <sz val="10"/>
      <name val="Tahoma"/>
      <family val="2"/>
    </font>
    <font>
      <sz val="14"/>
      <name val="Arial"/>
      <family val="2"/>
    </font>
    <font>
      <sz val="16"/>
      <color theme="1"/>
      <name val="Arial"/>
      <family val="2"/>
    </font>
    <font>
      <sz val="20"/>
      <name val="Arial"/>
      <family val="2"/>
    </font>
    <font>
      <b/>
      <sz val="20"/>
      <color theme="0"/>
      <name val="Arial"/>
      <family val="2"/>
    </font>
    <font>
      <sz val="22"/>
      <name val="Arial"/>
      <family val="2"/>
    </font>
    <font>
      <b/>
      <sz val="22"/>
      <color theme="0"/>
      <name val="Arial"/>
      <family val="2"/>
    </font>
    <font>
      <sz val="26"/>
      <name val="Arial"/>
      <family val="2"/>
    </font>
    <font>
      <b/>
      <sz val="26"/>
      <color theme="0"/>
      <name val="Arial"/>
      <family val="2"/>
    </font>
    <font>
      <sz val="26"/>
      <color theme="1"/>
      <name val="Arial"/>
      <family val="2"/>
    </font>
    <font>
      <b/>
      <sz val="10"/>
      <name val="Arial"/>
      <family val="2"/>
    </font>
    <font>
      <b/>
      <sz val="11"/>
      <name val="Calibri"/>
      <family val="2"/>
    </font>
    <font>
      <sz val="11"/>
      <color rgb="FFFFFFFF"/>
      <name val="Calibri"/>
      <family val="2"/>
    </font>
    <font>
      <b/>
      <sz val="8"/>
      <name val="Arial"/>
      <family val="2"/>
    </font>
    <font>
      <sz val="8"/>
      <name val="Arial"/>
      <family val="2"/>
    </font>
    <font>
      <sz val="11"/>
      <name val="Arial"/>
      <family val="2"/>
    </font>
    <font>
      <b/>
      <sz val="16"/>
      <name val="Arial"/>
      <family val="2"/>
    </font>
    <font>
      <b/>
      <sz val="14"/>
      <name val="Arial"/>
      <family val="2"/>
    </font>
    <font>
      <sz val="11"/>
      <color theme="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rgb="FF92D050"/>
      </patternFill>
    </fill>
    <fill>
      <patternFill patternType="solid">
        <fgColor rgb="FFFFF2CC"/>
        <bgColor rgb="FFFFF2CC"/>
      </patternFill>
    </fill>
    <fill>
      <patternFill patternType="solid">
        <fgColor rgb="FFFFC000"/>
        <bgColor rgb="FFFFC000"/>
      </patternFill>
    </fill>
    <fill>
      <patternFill patternType="solid">
        <fgColor rgb="FFC00000"/>
        <bgColor rgb="FFC00000"/>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249977111117893"/>
        <bgColor indexed="64"/>
      </patternFill>
    </fill>
  </fills>
  <borders count="50">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right/>
      <top style="thin">
        <color theme="0"/>
      </top>
      <bottom style="thin">
        <color theme="0"/>
      </bottom>
      <diagonal/>
    </border>
    <border>
      <left/>
      <right/>
      <top style="thin">
        <color theme="0"/>
      </top>
      <bottom/>
      <diagonal/>
    </border>
    <border>
      <left/>
      <right/>
      <top style="thick">
        <color theme="0"/>
      </top>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theme="0"/>
      </left>
      <right style="thick">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ck">
        <color theme="0"/>
      </right>
      <top/>
      <bottom/>
      <diagonal/>
    </border>
  </borders>
  <cellStyleXfs count="4">
    <xf numFmtId="0" fontId="0" fillId="0" borderId="0"/>
    <xf numFmtId="0" fontId="6" fillId="0" borderId="0"/>
    <xf numFmtId="9" fontId="3" fillId="0" borderId="0"/>
    <xf numFmtId="0" fontId="6" fillId="0" borderId="0"/>
  </cellStyleXfs>
  <cellXfs count="166">
    <xf numFmtId="0" fontId="0" fillId="0" borderId="0" xfId="0"/>
    <xf numFmtId="0" fontId="4" fillId="0" borderId="0" xfId="0" applyFont="1"/>
    <xf numFmtId="0" fontId="0" fillId="0" borderId="0" xfId="0" applyAlignment="1">
      <alignment horizontal="center"/>
    </xf>
    <xf numFmtId="0" fontId="7" fillId="0" borderId="4" xfId="0" applyFont="1" applyBorder="1"/>
    <xf numFmtId="0" fontId="8" fillId="0" borderId="4" xfId="0" applyFont="1" applyBorder="1" applyAlignment="1">
      <alignment vertical="center" wrapText="1"/>
    </xf>
    <xf numFmtId="0" fontId="7" fillId="0" borderId="4" xfId="0" applyFont="1" applyBorder="1" applyAlignment="1">
      <alignment horizontal="left" vertical="center"/>
    </xf>
    <xf numFmtId="0" fontId="8" fillId="2" borderId="4" xfId="0" applyFont="1" applyFill="1" applyBorder="1" applyAlignment="1">
      <alignment vertical="center" wrapText="1"/>
    </xf>
    <xf numFmtId="0" fontId="8" fillId="0" borderId="4" xfId="0" applyFont="1" applyBorder="1"/>
    <xf numFmtId="0" fontId="7" fillId="0" borderId="4" xfId="0" applyFont="1" applyBorder="1" applyAlignment="1">
      <alignment vertical="center"/>
    </xf>
    <xf numFmtId="0" fontId="8" fillId="0" borderId="1" xfId="0" applyFont="1" applyBorder="1" applyAlignment="1">
      <alignment vertical="center" wrapText="1"/>
    </xf>
    <xf numFmtId="0" fontId="8" fillId="0" borderId="0" xfId="0" applyFont="1" applyAlignment="1">
      <alignment vertical="center" wrapText="1"/>
    </xf>
    <xf numFmtId="0" fontId="8" fillId="2" borderId="1" xfId="0" applyFont="1" applyFill="1" applyBorder="1" applyAlignment="1">
      <alignment vertical="center" wrapText="1"/>
    </xf>
    <xf numFmtId="0" fontId="8" fillId="0" borderId="0" xfId="0" applyFont="1"/>
    <xf numFmtId="0" fontId="9" fillId="0" borderId="0" xfId="1" applyFont="1" applyAlignment="1">
      <alignment vertical="center" wrapText="1"/>
    </xf>
    <xf numFmtId="0" fontId="10" fillId="0" borderId="0" xfId="1" applyFont="1" applyAlignment="1">
      <alignment horizontal="left" vertical="top" wrapText="1"/>
    </xf>
    <xf numFmtId="9" fontId="0" fillId="0" borderId="0" xfId="0" applyNumberFormat="1" applyAlignment="1">
      <alignment horizontal="center"/>
    </xf>
    <xf numFmtId="9" fontId="0" fillId="0" borderId="0" xfId="2" applyFont="1" applyAlignment="1">
      <alignment horizontal="center"/>
    </xf>
    <xf numFmtId="0" fontId="11" fillId="0" borderId="0" xfId="0" applyFont="1" applyAlignment="1">
      <alignment horizontal="left" vertical="center" wrapText="1" indent="1"/>
    </xf>
    <xf numFmtId="0" fontId="12" fillId="0" borderId="0" xfId="1" applyFont="1"/>
    <xf numFmtId="0" fontId="16" fillId="0" borderId="0" xfId="0" applyFont="1"/>
    <xf numFmtId="0" fontId="0" fillId="0" borderId="0" xfId="0" applyAlignment="1">
      <alignment vertical="top"/>
    </xf>
    <xf numFmtId="0" fontId="0" fillId="0" borderId="4" xfId="0" applyBorder="1" applyAlignment="1">
      <alignment horizontal="center" vertical="center"/>
    </xf>
    <xf numFmtId="0" fontId="0" fillId="12" borderId="4" xfId="0" applyFill="1" applyBorder="1" applyAlignment="1">
      <alignment vertical="center"/>
    </xf>
    <xf numFmtId="0" fontId="0" fillId="12" borderId="5" xfId="0" applyFill="1" applyBorder="1" applyAlignment="1">
      <alignment vertical="center"/>
    </xf>
    <xf numFmtId="0" fontId="0" fillId="0" borderId="0" xfId="0" applyAlignment="1">
      <alignment wrapText="1"/>
    </xf>
    <xf numFmtId="0" fontId="17" fillId="0" borderId="0" xfId="0" applyFont="1"/>
    <xf numFmtId="0" fontId="23" fillId="0" borderId="0" xfId="0" applyFont="1"/>
    <xf numFmtId="0" fontId="25" fillId="6" borderId="4" xfId="0" applyFont="1" applyFill="1" applyBorder="1" applyAlignment="1">
      <alignment horizontal="center" vertical="center" wrapText="1"/>
    </xf>
    <xf numFmtId="0" fontId="23" fillId="9" borderId="4" xfId="0" applyFont="1" applyFill="1" applyBorder="1"/>
    <xf numFmtId="0" fontId="23" fillId="10" borderId="4" xfId="0" applyFont="1" applyFill="1" applyBorder="1"/>
    <xf numFmtId="0" fontId="23" fillId="7" borderId="4" xfId="0" applyFont="1" applyFill="1" applyBorder="1"/>
    <xf numFmtId="0" fontId="23" fillId="8" borderId="4" xfId="0" applyFont="1" applyFill="1" applyBorder="1"/>
    <xf numFmtId="0" fontId="20" fillId="4" borderId="9" xfId="0" applyFont="1" applyFill="1" applyBorder="1" applyAlignment="1">
      <alignment horizontal="center" vertical="center"/>
    </xf>
    <xf numFmtId="0" fontId="19" fillId="7" borderId="4" xfId="0" applyFont="1" applyFill="1" applyBorder="1" applyAlignment="1">
      <alignment horizontal="center" wrapText="1"/>
    </xf>
    <xf numFmtId="0" fontId="19" fillId="10" borderId="4" xfId="0" applyFont="1" applyFill="1" applyBorder="1" applyAlignment="1">
      <alignment horizontal="center" wrapText="1"/>
    </xf>
    <xf numFmtId="0" fontId="19" fillId="9" borderId="4" xfId="0" applyFont="1" applyFill="1" applyBorder="1" applyAlignment="1">
      <alignment horizontal="center" wrapText="1"/>
    </xf>
    <xf numFmtId="0" fontId="19" fillId="8" borderId="4" xfId="0" applyFont="1" applyFill="1" applyBorder="1" applyAlignment="1">
      <alignment horizontal="center" wrapText="1"/>
    </xf>
    <xf numFmtId="0" fontId="21" fillId="0" borderId="0" xfId="0" applyFont="1" applyAlignment="1">
      <alignment horizontal="center" vertical="center" wrapText="1"/>
    </xf>
    <xf numFmtId="0" fontId="18" fillId="5" borderId="13" xfId="0" applyFont="1" applyFill="1" applyBorder="1" applyAlignment="1">
      <alignment vertical="top"/>
    </xf>
    <xf numFmtId="0" fontId="5" fillId="0" borderId="0" xfId="0" applyFont="1" applyAlignment="1">
      <alignment vertical="top" wrapText="1"/>
    </xf>
    <xf numFmtId="0" fontId="18" fillId="5" borderId="15" xfId="0" applyFont="1" applyFill="1" applyBorder="1" applyAlignment="1">
      <alignment vertical="top" wrapText="1"/>
    </xf>
    <xf numFmtId="0" fontId="18" fillId="6" borderId="13" xfId="0" applyFont="1" applyFill="1" applyBorder="1" applyAlignment="1">
      <alignment vertical="top"/>
    </xf>
    <xf numFmtId="0" fontId="18" fillId="6" borderId="14" xfId="0" applyFont="1" applyFill="1" applyBorder="1" applyAlignment="1">
      <alignment vertical="top" wrapText="1"/>
    </xf>
    <xf numFmtId="0" fontId="18" fillId="5" borderId="14" xfId="0" applyFont="1" applyFill="1" applyBorder="1" applyAlignment="1">
      <alignment vertical="top" wrapText="1"/>
    </xf>
    <xf numFmtId="0" fontId="5" fillId="0" borderId="0" xfId="0" applyFont="1" applyAlignment="1">
      <alignment vertical="top"/>
    </xf>
    <xf numFmtId="0" fontId="18" fillId="5" borderId="16" xfId="0" applyFont="1" applyFill="1" applyBorder="1" applyAlignment="1">
      <alignment vertical="top"/>
    </xf>
    <xf numFmtId="0" fontId="18" fillId="5" borderId="0" xfId="0" applyFont="1" applyFill="1" applyAlignment="1">
      <alignment vertical="top" wrapText="1"/>
    </xf>
    <xf numFmtId="0" fontId="22" fillId="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0" xfId="0" applyAlignment="1">
      <alignment horizontal="center" vertical="center"/>
    </xf>
    <xf numFmtId="0" fontId="16" fillId="2" borderId="4" xfId="0" applyFont="1" applyFill="1" applyBorder="1" applyAlignment="1">
      <alignment horizontal="center" vertical="center"/>
    </xf>
    <xf numFmtId="0" fontId="15" fillId="11" borderId="0" xfId="0" applyFont="1" applyFill="1" applyAlignment="1">
      <alignment horizontal="center" vertical="top"/>
    </xf>
    <xf numFmtId="0" fontId="2" fillId="0" borderId="0" xfId="3" applyFont="1"/>
    <xf numFmtId="0" fontId="27" fillId="0" borderId="4" xfId="3" applyFont="1" applyBorder="1" applyAlignment="1">
      <alignment horizontal="center" vertical="center" wrapText="1"/>
    </xf>
    <xf numFmtId="0" fontId="16" fillId="0" borderId="4" xfId="0" applyFont="1" applyBorder="1" applyAlignment="1">
      <alignment vertical="center" wrapText="1"/>
    </xf>
    <xf numFmtId="0" fontId="0" fillId="0" borderId="4" xfId="0" applyBorder="1" applyAlignment="1">
      <alignment vertical="center" wrapText="1"/>
    </xf>
    <xf numFmtId="0" fontId="16" fillId="0" borderId="4" xfId="0" applyFont="1" applyBorder="1" applyAlignment="1">
      <alignment vertical="center"/>
    </xf>
    <xf numFmtId="0" fontId="0" fillId="0" borderId="4" xfId="0" applyBorder="1" applyAlignment="1">
      <alignment horizontal="center" vertical="center" wrapText="1"/>
    </xf>
    <xf numFmtId="0" fontId="7" fillId="0" borderId="0" xfId="3" applyFont="1"/>
    <xf numFmtId="9" fontId="16" fillId="0" borderId="4" xfId="2" applyFont="1" applyBorder="1" applyAlignment="1">
      <alignment horizontal="center" vertical="center"/>
    </xf>
    <xf numFmtId="164" fontId="16" fillId="2" borderId="4" xfId="0" applyNumberFormat="1" applyFont="1" applyFill="1" applyBorder="1" applyAlignment="1">
      <alignment horizontal="center" vertical="center"/>
    </xf>
    <xf numFmtId="0" fontId="13" fillId="11" borderId="12" xfId="0" applyFont="1" applyFill="1" applyBorder="1" applyAlignment="1">
      <alignment horizontal="center" vertical="center"/>
    </xf>
    <xf numFmtId="0" fontId="13" fillId="11" borderId="12" xfId="0" applyFont="1" applyFill="1" applyBorder="1" applyAlignment="1">
      <alignment horizontal="center" vertical="center" wrapText="1"/>
    </xf>
    <xf numFmtId="0" fontId="13" fillId="11" borderId="8" xfId="0" applyFont="1" applyFill="1" applyBorder="1" applyAlignment="1">
      <alignment horizontal="centerContinuous" vertical="center" wrapText="1"/>
    </xf>
    <xf numFmtId="0" fontId="13" fillId="11" borderId="9" xfId="0" applyFont="1" applyFill="1" applyBorder="1" applyAlignment="1">
      <alignment horizontal="centerContinuous" vertical="center" wrapText="1"/>
    </xf>
    <xf numFmtId="0" fontId="13" fillId="11" borderId="10" xfId="0" applyFont="1" applyFill="1" applyBorder="1" applyAlignment="1">
      <alignment horizontal="centerContinuous" vertical="center" wrapText="1"/>
    </xf>
    <xf numFmtId="0" fontId="13" fillId="11" borderId="22" xfId="0" applyFont="1" applyFill="1" applyBorder="1" applyAlignment="1">
      <alignment horizontal="centerContinuous" vertical="center" wrapText="1"/>
    </xf>
    <xf numFmtId="0" fontId="13" fillId="11" borderId="23" xfId="0" applyFont="1" applyFill="1" applyBorder="1" applyAlignment="1">
      <alignment horizontal="centerContinuous" vertical="center"/>
    </xf>
    <xf numFmtId="0" fontId="13" fillId="11" borderId="24" xfId="0" applyFont="1" applyFill="1" applyBorder="1" applyAlignment="1">
      <alignment horizontal="centerContinuous" vertical="center"/>
    </xf>
    <xf numFmtId="0" fontId="13" fillId="11" borderId="21" xfId="0" applyFont="1" applyFill="1" applyBorder="1" applyAlignment="1">
      <alignment horizontal="center" vertical="center"/>
    </xf>
    <xf numFmtId="0" fontId="26" fillId="0" borderId="7" xfId="0" applyFont="1" applyBorder="1" applyAlignment="1">
      <alignment horizontal="center" vertical="center"/>
    </xf>
    <xf numFmtId="0" fontId="27" fillId="0" borderId="4" xfId="0" applyFont="1" applyBorder="1" applyAlignment="1">
      <alignment horizontal="center" vertical="center"/>
    </xf>
    <xf numFmtId="0" fontId="0" fillId="13" borderId="4" xfId="0" applyFill="1" applyBorder="1" applyAlignment="1">
      <alignment horizontal="center" vertical="center" wrapText="1"/>
    </xf>
    <xf numFmtId="0" fontId="0" fillId="13" borderId="4" xfId="0" applyFill="1" applyBorder="1" applyAlignment="1">
      <alignment vertical="center" wrapText="1"/>
    </xf>
    <xf numFmtId="0" fontId="0" fillId="14" borderId="4" xfId="0" applyFill="1" applyBorder="1" applyAlignment="1">
      <alignment horizontal="center" vertical="center" wrapText="1"/>
    </xf>
    <xf numFmtId="0" fontId="0" fillId="14" borderId="4" xfId="0" applyFill="1" applyBorder="1" applyAlignment="1">
      <alignment vertical="center" wrapText="1"/>
    </xf>
    <xf numFmtId="0" fontId="0" fillId="15" borderId="4" xfId="0" applyFill="1" applyBorder="1" applyAlignment="1">
      <alignment horizontal="center" vertical="center" wrapText="1"/>
    </xf>
    <xf numFmtId="0" fontId="0" fillId="15" borderId="4" xfId="0" applyFill="1" applyBorder="1" applyAlignment="1">
      <alignment vertical="center" wrapText="1"/>
    </xf>
    <xf numFmtId="0" fontId="28" fillId="16" borderId="4" xfId="0" applyFont="1" applyFill="1" applyBorder="1" applyAlignment="1">
      <alignment horizontal="center" vertical="center" wrapText="1"/>
    </xf>
    <xf numFmtId="0" fontId="28" fillId="16" borderId="4" xfId="0" applyFont="1" applyFill="1" applyBorder="1" applyAlignment="1">
      <alignment vertical="center" wrapText="1"/>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29" fillId="18" borderId="28" xfId="0" applyFont="1" applyFill="1" applyBorder="1" applyAlignment="1">
      <alignment horizontal="center" vertical="center"/>
    </xf>
    <xf numFmtId="0" fontId="29" fillId="18" borderId="29" xfId="0" applyFont="1" applyFill="1" applyBorder="1" applyAlignment="1">
      <alignment horizontal="center" vertical="center"/>
    </xf>
    <xf numFmtId="0" fontId="29" fillId="18" borderId="30" xfId="0" applyFont="1" applyFill="1" applyBorder="1" applyAlignment="1">
      <alignment vertical="center"/>
    </xf>
    <xf numFmtId="0" fontId="29" fillId="18" borderId="25" xfId="0" applyFont="1" applyFill="1" applyBorder="1" applyAlignment="1">
      <alignment horizontal="center" vertical="center"/>
    </xf>
    <xf numFmtId="0" fontId="29" fillId="18" borderId="27" xfId="0" applyFont="1" applyFill="1" applyBorder="1" applyAlignment="1">
      <alignment horizontal="center" vertical="center"/>
    </xf>
    <xf numFmtId="0" fontId="30" fillId="0" borderId="6" xfId="0" applyFont="1" applyBorder="1" applyAlignment="1">
      <alignment horizontal="center" vertical="center" wrapText="1"/>
    </xf>
    <xf numFmtId="0" fontId="30" fillId="0" borderId="17" xfId="0" applyFont="1" applyBorder="1" applyAlignment="1">
      <alignment horizontal="center" vertical="center" wrapText="1"/>
    </xf>
    <xf numFmtId="0" fontId="26" fillId="19" borderId="31" xfId="0" applyFont="1" applyFill="1" applyBorder="1" applyAlignment="1">
      <alignment horizontal="center" vertical="center"/>
    </xf>
    <xf numFmtId="0" fontId="26" fillId="19" borderId="32" xfId="0" applyFont="1" applyFill="1" applyBorder="1" applyAlignment="1">
      <alignment horizontal="center" vertical="center"/>
    </xf>
    <xf numFmtId="0" fontId="26" fillId="19" borderId="33" xfId="0" applyFont="1" applyFill="1" applyBorder="1" applyAlignment="1">
      <alignment horizontal="center" vertical="center"/>
    </xf>
    <xf numFmtId="0" fontId="30" fillId="0" borderId="34" xfId="0" applyFont="1" applyBorder="1" applyAlignment="1">
      <alignment vertical="center" wrapText="1"/>
    </xf>
    <xf numFmtId="0" fontId="30" fillId="0" borderId="35" xfId="0" applyFont="1" applyBorder="1" applyAlignment="1">
      <alignment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1" fillId="0" borderId="3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41"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26" fillId="0" borderId="32" xfId="0" applyFont="1" applyBorder="1" applyAlignment="1">
      <alignment vertical="center" wrapText="1"/>
    </xf>
    <xf numFmtId="0" fontId="26" fillId="0" borderId="33" xfId="0" applyFont="1" applyBorder="1" applyAlignment="1">
      <alignment vertical="center" wrapText="1"/>
    </xf>
    <xf numFmtId="0" fontId="26" fillId="17" borderId="44" xfId="0" applyFont="1" applyFill="1" applyBorder="1" applyAlignment="1">
      <alignment horizontal="center" vertical="center"/>
    </xf>
    <xf numFmtId="0" fontId="0" fillId="0" borderId="4" xfId="0" applyBorder="1" applyAlignment="1">
      <alignment horizontal="left" vertical="center" wrapText="1"/>
    </xf>
    <xf numFmtId="0" fontId="34" fillId="0" borderId="0" xfId="3" applyFont="1"/>
    <xf numFmtId="0" fontId="35" fillId="0" borderId="0" xfId="3" applyFont="1"/>
    <xf numFmtId="0" fontId="3" fillId="0" borderId="0" xfId="0" applyFont="1"/>
    <xf numFmtId="0" fontId="0" fillId="0" borderId="3" xfId="0" applyBorder="1" applyAlignment="1">
      <alignment horizontal="left" vertical="center" wrapText="1"/>
    </xf>
    <xf numFmtId="0" fontId="0" fillId="0" borderId="18" xfId="0" applyBorder="1" applyAlignment="1">
      <alignment horizontal="left" vertical="center" wrapText="1"/>
    </xf>
    <xf numFmtId="0" fontId="26" fillId="7" borderId="45" xfId="0" applyFont="1" applyFill="1" applyBorder="1" applyAlignment="1">
      <alignment horizontal="center" vertical="center"/>
    </xf>
    <xf numFmtId="0" fontId="1" fillId="0" borderId="0" xfId="3" applyFont="1"/>
    <xf numFmtId="0" fontId="26" fillId="20" borderId="43" xfId="0" applyFont="1" applyFill="1" applyBorder="1" applyAlignment="1">
      <alignment horizontal="center" vertical="center"/>
    </xf>
    <xf numFmtId="0" fontId="26" fillId="10" borderId="44" xfId="0" applyFont="1" applyFill="1" applyBorder="1" applyAlignment="1">
      <alignment horizontal="center" vertical="center"/>
    </xf>
    <xf numFmtId="0" fontId="26" fillId="21" borderId="44" xfId="0" applyFont="1" applyFill="1" applyBorder="1" applyAlignment="1">
      <alignment horizontal="center" vertical="center"/>
    </xf>
    <xf numFmtId="0" fontId="15" fillId="11" borderId="4" xfId="0" applyFont="1" applyFill="1" applyBorder="1" applyAlignment="1">
      <alignment horizontal="center" vertical="center"/>
    </xf>
    <xf numFmtId="0" fontId="0" fillId="0" borderId="3" xfId="0" applyBorder="1"/>
    <xf numFmtId="0" fontId="0" fillId="0" borderId="17" xfId="0" applyBorder="1"/>
    <xf numFmtId="0" fontId="13" fillId="11" borderId="11" xfId="0" applyFont="1" applyFill="1" applyBorder="1" applyAlignment="1">
      <alignment horizontal="center" vertical="center" wrapText="1"/>
    </xf>
    <xf numFmtId="0" fontId="0" fillId="0" borderId="12" xfId="0" applyBorder="1"/>
    <xf numFmtId="165" fontId="0" fillId="0" borderId="4" xfId="0" applyNumberFormat="1" applyBorder="1" applyAlignment="1">
      <alignment horizontal="center" vertical="top"/>
    </xf>
    <xf numFmtId="165" fontId="0" fillId="0" borderId="3" xfId="0" applyNumberFormat="1" applyBorder="1"/>
    <xf numFmtId="165" fontId="0" fillId="0" borderId="17" xfId="0" applyNumberFormat="1" applyBorder="1"/>
    <xf numFmtId="0" fontId="15" fillId="11" borderId="19" xfId="0" applyFont="1" applyFill="1" applyBorder="1" applyAlignment="1">
      <alignment horizontal="center" vertical="center"/>
    </xf>
    <xf numFmtId="0" fontId="0" fillId="0" borderId="0" xfId="0" applyAlignment="1">
      <alignment vertical="top"/>
    </xf>
    <xf numFmtId="0" fontId="0" fillId="0" borderId="19" xfId="0" applyBorder="1"/>
    <xf numFmtId="0" fontId="0" fillId="0" borderId="47" xfId="0" applyBorder="1" applyAlignment="1">
      <alignment horizontal="center" vertical="center"/>
    </xf>
    <xf numFmtId="0" fontId="0" fillId="0" borderId="18" xfId="0" applyBorder="1"/>
    <xf numFmtId="0" fontId="0" fillId="0" borderId="20" xfId="0" applyBorder="1"/>
    <xf numFmtId="0" fontId="13" fillId="11" borderId="12" xfId="0" applyFont="1" applyFill="1" applyBorder="1" applyAlignment="1">
      <alignment horizontal="center" vertical="center"/>
    </xf>
    <xf numFmtId="0" fontId="15" fillId="11" borderId="0" xfId="0" applyFont="1" applyFill="1" applyAlignment="1">
      <alignment horizontal="center" vertical="top"/>
    </xf>
    <xf numFmtId="0" fontId="13" fillId="11" borderId="12" xfId="0" applyFont="1" applyFill="1" applyBorder="1" applyAlignment="1">
      <alignment horizontal="center" vertical="center" wrapText="1"/>
    </xf>
    <xf numFmtId="0" fontId="15" fillId="11" borderId="5" xfId="0" applyFont="1" applyFill="1" applyBorder="1" applyAlignment="1">
      <alignment horizontal="center" vertical="center"/>
    </xf>
    <xf numFmtId="0" fontId="0" fillId="0" borderId="7" xfId="0" applyBorder="1"/>
    <xf numFmtId="0" fontId="0" fillId="0" borderId="6" xfId="0" applyBorder="1"/>
    <xf numFmtId="0" fontId="13" fillId="11" borderId="46" xfId="0" applyFont="1" applyFill="1" applyBorder="1" applyAlignment="1">
      <alignment horizontal="center" vertical="center" wrapText="1"/>
    </xf>
    <xf numFmtId="0" fontId="0" fillId="12" borderId="2" xfId="0" applyFill="1" applyBorder="1" applyAlignment="1">
      <alignment horizontal="center" vertical="center"/>
    </xf>
    <xf numFmtId="0" fontId="13" fillId="11" borderId="10" xfId="0" applyFont="1" applyFill="1" applyBorder="1" applyAlignment="1">
      <alignment horizontal="center" vertical="center" wrapText="1"/>
    </xf>
    <xf numFmtId="0" fontId="0" fillId="0" borderId="49" xfId="0" applyBorder="1"/>
    <xf numFmtId="0" fontId="0" fillId="12" borderId="5" xfId="0" applyFill="1" applyBorder="1" applyAlignment="1">
      <alignment horizontal="left" vertical="center"/>
    </xf>
    <xf numFmtId="0" fontId="15" fillId="11" borderId="0" xfId="0" applyFont="1" applyFill="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top"/>
    </xf>
    <xf numFmtId="165" fontId="0" fillId="0" borderId="4" xfId="0" applyNumberFormat="1" applyBorder="1" applyAlignment="1">
      <alignment horizontal="center" vertical="center"/>
    </xf>
    <xf numFmtId="0" fontId="0" fillId="12" borderId="7" xfId="0" applyFill="1" applyBorder="1" applyAlignment="1">
      <alignment horizontal="center" vertical="center"/>
    </xf>
    <xf numFmtId="0" fontId="0" fillId="0" borderId="4" xfId="0" applyBorder="1" applyAlignment="1">
      <alignment horizontal="center" vertical="center"/>
    </xf>
    <xf numFmtId="0" fontId="0" fillId="12" borderId="4" xfId="0" applyFill="1" applyBorder="1" applyAlignment="1">
      <alignment horizontal="left" vertical="center"/>
    </xf>
    <xf numFmtId="0" fontId="26" fillId="0" borderId="18" xfId="0" applyFont="1" applyBorder="1" applyAlignment="1">
      <alignment horizontal="center" vertical="center" wrapText="1"/>
    </xf>
    <xf numFmtId="0" fontId="33" fillId="3" borderId="25" xfId="0" applyFont="1" applyFill="1" applyBorder="1" applyAlignment="1">
      <alignment horizontal="center" vertical="center"/>
    </xf>
    <xf numFmtId="0" fontId="0" fillId="0" borderId="26" xfId="0" applyBorder="1"/>
    <xf numFmtId="0" fontId="32" fillId="3" borderId="25" xfId="0" applyFont="1" applyFill="1" applyBorder="1" applyAlignment="1">
      <alignment horizontal="center" vertical="center"/>
    </xf>
    <xf numFmtId="0" fontId="0" fillId="0" borderId="42" xfId="0" applyBorder="1"/>
    <xf numFmtId="0" fontId="20" fillId="4" borderId="0" xfId="0" applyFont="1" applyFill="1" applyAlignment="1">
      <alignment horizontal="center" vertical="center"/>
    </xf>
    <xf numFmtId="0" fontId="0" fillId="0" borderId="0" xfId="0"/>
    <xf numFmtId="0" fontId="19" fillId="0" borderId="4" xfId="0" applyFont="1" applyBorder="1" applyAlignment="1">
      <alignment horizontal="left" wrapText="1"/>
    </xf>
    <xf numFmtId="0" fontId="24" fillId="4" borderId="4" xfId="0" applyFont="1" applyFill="1" applyBorder="1" applyAlignment="1">
      <alignment horizontal="center" vertical="center"/>
    </xf>
    <xf numFmtId="0" fontId="24" fillId="4" borderId="4" xfId="0" applyFont="1" applyFill="1" applyBorder="1" applyAlignment="1">
      <alignment horizontal="center" vertical="center" textRotation="90"/>
    </xf>
    <xf numFmtId="0" fontId="0" fillId="0" borderId="48" xfId="0" applyBorder="1"/>
    <xf numFmtId="0" fontId="0" fillId="0" borderId="5" xfId="0" applyBorder="1"/>
    <xf numFmtId="0" fontId="9" fillId="3" borderId="7" xfId="0" applyFont="1" applyFill="1" applyBorder="1" applyAlignment="1">
      <alignment horizontal="center" vertical="center"/>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14" fillId="0" borderId="0" xfId="0" applyFont="1" applyAlignment="1">
      <alignment horizontal="center" wrapText="1"/>
    </xf>
  </cellXfs>
  <cellStyles count="4">
    <cellStyle name="Normal" xfId="0" builtinId="0"/>
    <cellStyle name="Normal 2" xfId="1" xr:uid="{00000000-0005-0000-0000-000001000000}"/>
    <cellStyle name="Normal 3" xfId="3" xr:uid="{00000000-0005-0000-0000-000003000000}"/>
    <cellStyle name="Percent" xfId="2" builtinId="5"/>
  </cellStyles>
  <dxfs count="20">
    <dxf>
      <font>
        <strike val="0"/>
        <outline val="0"/>
        <shadow val="0"/>
        <vertAlign val="baseline"/>
        <sz val="14"/>
        <name val="Arial"/>
        <family val="2"/>
      </font>
      <alignment horizontal="general" vertical="top" wrapText="1"/>
    </dxf>
    <dxf>
      <font>
        <strike val="0"/>
        <outline val="0"/>
        <shadow val="0"/>
        <vertAlign val="baseline"/>
        <sz val="14"/>
        <name val="Arial"/>
        <family val="2"/>
      </font>
      <alignment horizontal="general" vertical="top" wrapText="1"/>
    </dxf>
    <dxf>
      <border>
        <bottom style="thin">
          <color indexed="64"/>
        </bottom>
      </border>
    </dxf>
    <dxf>
      <font>
        <strike val="0"/>
        <outline val="0"/>
        <shadow val="0"/>
        <vertAlign val="baseline"/>
        <sz val="22"/>
        <name val="Arial"/>
        <family val="2"/>
      </font>
      <alignment horizontal="center" vertical="center" wrapText="1"/>
      <border>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strike val="0"/>
        <condense val="0"/>
        <extend val="0"/>
        <outline val="0"/>
        <shadow val="0"/>
        <vertAlign val="baseline"/>
        <sz val="10"/>
        <color auto="1"/>
        <name val="Arial"/>
        <family val="2"/>
      </font>
      <alignment horizontal="center" vertical="center"/>
    </dxf>
    <dxf>
      <alignment horizontal="center" vertical="center" textRotation="0" wrapText="0" indent="0" justifyLastLine="0" shrinkToFit="0" readingOrder="0"/>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ill>
        <patternFill>
          <bgColor theme="0" tint="-0.499984740745262"/>
        </patternFill>
      </fill>
    </dxf>
  </dxfs>
  <tableStyles count="0" defaultTableStyle="TableStyleMedium9" defaultPivotStyle="PivotStyleLight16"/>
  <colors>
    <mruColors>
      <color rgb="FFF4F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6</xdr:row>
      <xdr:rowOff>171450</xdr:rowOff>
    </xdr:from>
    <xdr:to>
      <xdr:col>7</xdr:col>
      <xdr:colOff>6692900</xdr:colOff>
      <xdr:row>12</xdr:row>
      <xdr:rowOff>145107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29350" y="6429375"/>
          <a:ext cx="9067800" cy="5228282"/>
        </a:xfrm>
        <a:prstGeom prst="rect">
          <a:avLst/>
        </a:prstGeom>
        <a:ln>
          <a:prstDash val="solid"/>
        </a:ln>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9E3D2-78BB-4383-937E-1693DF7D0F6F}" name="Table4" displayName="Table4" ref="B2:G43" totalsRowShown="0" headerRowDxfId="10">
  <autoFilter ref="B2:G43" xr:uid="{7E79E3D2-78BB-4383-937E-1693DF7D0F6F}"/>
  <tableColumns count="6">
    <tableColumn id="1" xr3:uid="{0145E517-46C4-42E4-BF24-372761AACB5B}" name="PJ-EHSIP"/>
    <tableColumn id="2" xr3:uid="{D0A0289F-B9EA-4236-A160-DE814DC73CFA}" name="PT EHSIP"/>
    <tableColumn id="3" xr3:uid="{D4AB1525-FB24-4D84-B254-D91AC6049E62}" name="Descripción de acciones correspondientes"/>
    <tableColumn id="4" xr3:uid="{5128B35C-CF22-4617-9C6C-33FDE24D166A}" name="Responsable"/>
    <tableColumn id="5" xr3:uid="{5F576F2D-05CA-4386-9D31-24620324A4FE}" name="Correo"/>
    <tableColumn id="6" xr3:uid="{104F33CF-7044-47CC-B710-6902A8ABB21A}" name="Fecha de vencimi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33" totalsRowShown="0" headerRowDxfId="9" dataDxfId="7" headerRowBorderDxfId="8" tableBorderDxfId="6" totalsRowBorderDxfId="5">
  <autoFilter ref="B2:B33" xr:uid="{00000000-0009-0000-0100-000001000000}"/>
  <tableColumns count="1">
    <tableColumn id="1" xr3:uid="{00000000-0010-0000-0000-000001000000}" name="Guía de EPP (No definitiva)"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1:C50" totalsRowShown="0" headerRowDxfId="3" dataDxfId="1" headerRowBorderDxfId="2">
  <autoFilter ref="C1:C50" xr:uid="{00000000-0009-0000-0100-000002000000}"/>
  <tableColumns count="1">
    <tableColumn id="1" xr3:uid="{00000000-0010-0000-0100-000001000000}" name="Guía de EPP (No definitiv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3"/>
  <sheetViews>
    <sheetView tabSelected="1" view="pageBreakPreview" zoomScale="70" zoomScaleNormal="70" zoomScaleSheetLayoutView="70" zoomScalePageLayoutView="55" workbookViewId="0">
      <selection activeCell="O29" sqref="O29"/>
    </sheetView>
  </sheetViews>
  <sheetFormatPr defaultColWidth="9.140625" defaultRowHeight="12.75" x14ac:dyDescent="0.2"/>
  <cols>
    <col min="1" max="1" width="12" bestFit="1" customWidth="1"/>
    <col min="2" max="2" width="27" customWidth="1"/>
    <col min="3" max="6" width="17" customWidth="1"/>
    <col min="7" max="7" width="13.140625" customWidth="1"/>
    <col min="8" max="10" width="7.85546875" customWidth="1"/>
    <col min="11" max="11" width="38.28515625" customWidth="1"/>
    <col min="12" max="12" width="38.85546875" customWidth="1"/>
    <col min="13" max="13" width="36.5703125" customWidth="1"/>
    <col min="14" max="14" width="13.5703125" customWidth="1"/>
    <col min="15" max="15" width="11.7109375" customWidth="1"/>
    <col min="16" max="16" width="8" customWidth="1"/>
    <col min="17" max="17" width="14.7109375" customWidth="1"/>
    <col min="18" max="19" width="11.42578125" customWidth="1"/>
  </cols>
  <sheetData>
    <row r="1" spans="1:19" s="20" customFormat="1" ht="18" customHeight="1" x14ac:dyDescent="0.2">
      <c r="A1" s="126" t="s">
        <v>0</v>
      </c>
      <c r="B1" s="127"/>
      <c r="C1" s="127"/>
      <c r="D1" s="128"/>
      <c r="E1" s="118" t="s">
        <v>1</v>
      </c>
      <c r="F1" s="119"/>
      <c r="G1" s="120"/>
      <c r="H1" s="135" t="s">
        <v>2</v>
      </c>
      <c r="I1" s="136"/>
      <c r="J1" s="136"/>
      <c r="K1" s="136"/>
      <c r="L1" s="136"/>
      <c r="M1" s="136"/>
      <c r="N1" s="136"/>
      <c r="O1" s="136"/>
      <c r="P1" s="136"/>
      <c r="Q1" s="136"/>
      <c r="R1" s="136"/>
      <c r="S1" s="137"/>
    </row>
    <row r="2" spans="1:19" s="20" customFormat="1" ht="18" customHeight="1" x14ac:dyDescent="0.2">
      <c r="A2" s="145"/>
      <c r="B2" s="127"/>
      <c r="C2" s="127"/>
      <c r="D2" s="128"/>
      <c r="E2" s="129"/>
      <c r="F2" s="130"/>
      <c r="G2" s="131"/>
      <c r="H2" s="139" t="s">
        <v>3</v>
      </c>
      <c r="I2" s="119"/>
      <c r="J2" s="119"/>
      <c r="K2" s="119"/>
      <c r="L2" s="22" t="s">
        <v>4</v>
      </c>
      <c r="M2" s="22" t="s">
        <v>5</v>
      </c>
      <c r="N2" s="149" t="s">
        <v>5</v>
      </c>
      <c r="O2" s="120"/>
      <c r="P2" s="149" t="s">
        <v>5</v>
      </c>
      <c r="Q2" s="119"/>
      <c r="R2" s="119"/>
      <c r="S2" s="120"/>
    </row>
    <row r="3" spans="1:19" s="20" customFormat="1" ht="18" customHeight="1" x14ac:dyDescent="0.2">
      <c r="A3" s="133" t="s">
        <v>6</v>
      </c>
      <c r="B3" s="127"/>
      <c r="C3" s="127"/>
      <c r="D3" s="52"/>
      <c r="E3" s="143" t="s">
        <v>7</v>
      </c>
      <c r="F3" s="127"/>
      <c r="G3" s="127"/>
      <c r="H3" s="150"/>
      <c r="I3" s="130"/>
      <c r="J3" s="130"/>
      <c r="K3" s="130"/>
      <c r="L3" s="21"/>
      <c r="M3" s="50"/>
      <c r="N3" s="144"/>
      <c r="O3" s="119"/>
      <c r="P3" s="148"/>
      <c r="Q3" s="119"/>
      <c r="R3" s="119"/>
      <c r="S3" s="120"/>
    </row>
    <row r="4" spans="1:19" s="20" customFormat="1" ht="18" customHeight="1" x14ac:dyDescent="0.2">
      <c r="A4" s="127"/>
      <c r="B4" s="127"/>
      <c r="C4" s="127"/>
      <c r="D4" s="52"/>
      <c r="E4" s="127"/>
      <c r="F4" s="127"/>
      <c r="G4" s="127"/>
      <c r="H4" s="147" t="s">
        <v>8</v>
      </c>
      <c r="I4" s="136"/>
      <c r="J4" s="136"/>
      <c r="K4" s="136"/>
      <c r="L4" s="23" t="s">
        <v>9</v>
      </c>
      <c r="M4" s="22" t="s">
        <v>5</v>
      </c>
      <c r="N4" s="142" t="s">
        <v>5</v>
      </c>
      <c r="O4" s="137"/>
      <c r="P4" s="142" t="s">
        <v>5</v>
      </c>
      <c r="Q4" s="136"/>
      <c r="R4" s="136"/>
      <c r="S4" s="137"/>
    </row>
    <row r="5" spans="1:19" s="20" customFormat="1" ht="18" customHeight="1" thickBot="1" x14ac:dyDescent="0.25">
      <c r="A5" s="123">
        <f ca="1">TODAY()</f>
        <v>46069</v>
      </c>
      <c r="B5" s="124"/>
      <c r="C5" s="124"/>
      <c r="D5" s="125"/>
      <c r="E5" s="146">
        <f ca="1">A5+365</f>
        <v>46434</v>
      </c>
      <c r="F5" s="124"/>
      <c r="G5" s="125"/>
      <c r="H5" s="144"/>
      <c r="I5" s="119"/>
      <c r="J5" s="119"/>
      <c r="K5" s="119"/>
      <c r="L5" s="50"/>
      <c r="M5" s="21"/>
      <c r="N5" s="144"/>
      <c r="O5" s="119"/>
      <c r="P5" s="148"/>
      <c r="Q5" s="119"/>
      <c r="R5" s="119"/>
      <c r="S5" s="120"/>
    </row>
    <row r="6" spans="1:19" ht="53.1" customHeight="1" thickTop="1" thickBot="1" x14ac:dyDescent="0.25">
      <c r="A6" s="132" t="s">
        <v>10</v>
      </c>
      <c r="B6" s="121" t="s">
        <v>11</v>
      </c>
      <c r="C6" s="134" t="s">
        <v>12</v>
      </c>
      <c r="D6" s="138" t="s">
        <v>13</v>
      </c>
      <c r="E6" s="134" t="s">
        <v>14</v>
      </c>
      <c r="F6" s="134" t="s">
        <v>15</v>
      </c>
      <c r="G6" s="134" t="s">
        <v>16</v>
      </c>
      <c r="H6" s="64" t="s">
        <v>17</v>
      </c>
      <c r="I6" s="65"/>
      <c r="J6" s="66"/>
      <c r="K6" s="121" t="s">
        <v>18</v>
      </c>
      <c r="L6" s="121" t="s">
        <v>19</v>
      </c>
      <c r="M6" s="121" t="s">
        <v>20</v>
      </c>
      <c r="N6" s="121" t="s">
        <v>21</v>
      </c>
      <c r="O6" s="67" t="s">
        <v>22</v>
      </c>
      <c r="P6" s="68"/>
      <c r="Q6" s="69"/>
      <c r="R6" s="140" t="s">
        <v>23</v>
      </c>
      <c r="S6" s="121" t="s">
        <v>24</v>
      </c>
    </row>
    <row r="7" spans="1:19" ht="39" customHeight="1" thickTop="1" x14ac:dyDescent="0.2">
      <c r="A7" s="122"/>
      <c r="B7" s="122"/>
      <c r="C7" s="122"/>
      <c r="D7" s="122"/>
      <c r="E7" s="122"/>
      <c r="F7" s="122"/>
      <c r="G7" s="122"/>
      <c r="H7" s="70" t="s">
        <v>25</v>
      </c>
      <c r="I7" s="70" t="s">
        <v>26</v>
      </c>
      <c r="J7" s="70" t="s">
        <v>27</v>
      </c>
      <c r="K7" s="122"/>
      <c r="L7" s="122"/>
      <c r="M7" s="122"/>
      <c r="N7" s="122"/>
      <c r="O7" s="63" t="s">
        <v>28</v>
      </c>
      <c r="P7" s="62" t="s">
        <v>29</v>
      </c>
      <c r="Q7" s="62" t="s">
        <v>30</v>
      </c>
      <c r="R7" s="141"/>
      <c r="S7" s="122"/>
    </row>
    <row r="8" spans="1:19" s="19" customFormat="1" x14ac:dyDescent="0.2">
      <c r="A8" s="55"/>
      <c r="B8" s="55"/>
      <c r="C8" s="56"/>
      <c r="D8" s="56"/>
      <c r="E8" s="49"/>
      <c r="F8" s="49" t="s">
        <v>31</v>
      </c>
      <c r="G8" s="56"/>
      <c r="H8" s="57"/>
      <c r="I8" s="57"/>
      <c r="J8" s="51">
        <f t="shared" ref="J8" si="0">H8*I8</f>
        <v>0</v>
      </c>
      <c r="K8" s="107"/>
      <c r="L8" s="58"/>
      <c r="M8" s="58"/>
      <c r="N8" s="57"/>
      <c r="O8" s="49"/>
      <c r="P8" s="61">
        <f t="shared" ref="P8" si="1">IF(O8=5,(J8*1),IF(O8=4,(J8*0.85),IF(O8=3,(J8*0.15),IF(O8=2,(J8*0.05),IF(O8=1,(J8*-0.0000000000000001),(J8*1))))))</f>
        <v>0</v>
      </c>
      <c r="Q8" s="60">
        <f t="shared" ref="Q8" si="2">IF(J8=0,0,(P8-J8)/J8)</f>
        <v>0</v>
      </c>
      <c r="R8" s="57"/>
      <c r="S8" s="57"/>
    </row>
    <row r="9" spans="1:19" s="19" customFormat="1" x14ac:dyDescent="0.2">
      <c r="A9" s="55"/>
      <c r="B9" s="55"/>
      <c r="C9" s="56"/>
      <c r="D9" s="56"/>
      <c r="E9" s="49"/>
      <c r="F9" s="49"/>
      <c r="G9" s="56"/>
      <c r="H9" s="57"/>
      <c r="I9" s="57"/>
      <c r="J9" s="51">
        <f t="shared" ref="J9:J27" si="3">H9*I9</f>
        <v>0</v>
      </c>
      <c r="K9" s="107"/>
      <c r="L9" s="58"/>
      <c r="M9" s="58"/>
      <c r="N9" s="57"/>
      <c r="O9" s="49"/>
      <c r="P9" s="61">
        <f t="shared" ref="P9:P27" si="4">IF(O9=5,(J9*1),IF(O9=4,(J9*0.85),IF(O9=3,(J9*0.15),IF(O9=2,(J9*0.05),IF(O9=1,(J9*-0.0000000000000001),(J9*1))))))</f>
        <v>0</v>
      </c>
      <c r="Q9" s="60">
        <f t="shared" ref="Q9:Q27" si="5">IF(J9=0,0,(P9-J9)/J9)</f>
        <v>0</v>
      </c>
      <c r="R9" s="57"/>
      <c r="S9" s="57"/>
    </row>
    <row r="10" spans="1:19" s="19" customFormat="1" x14ac:dyDescent="0.2">
      <c r="A10" s="55"/>
      <c r="B10" s="55"/>
      <c r="C10" s="56"/>
      <c r="D10" s="56"/>
      <c r="E10" s="49"/>
      <c r="F10" s="49"/>
      <c r="G10" s="56"/>
      <c r="H10" s="57"/>
      <c r="I10" s="57"/>
      <c r="J10" s="51">
        <f t="shared" si="3"/>
        <v>0</v>
      </c>
      <c r="K10" s="107"/>
      <c r="L10" s="58"/>
      <c r="M10" s="58"/>
      <c r="N10" s="57"/>
      <c r="O10" s="49"/>
      <c r="P10" s="61">
        <f t="shared" si="4"/>
        <v>0</v>
      </c>
      <c r="Q10" s="60">
        <f t="shared" si="5"/>
        <v>0</v>
      </c>
      <c r="R10" s="57"/>
      <c r="S10" s="57"/>
    </row>
    <row r="11" spans="1:19" s="19" customFormat="1" x14ac:dyDescent="0.2">
      <c r="A11" s="55"/>
      <c r="B11" s="55"/>
      <c r="C11" s="56"/>
      <c r="D11" s="56"/>
      <c r="E11" s="49"/>
      <c r="F11" s="49"/>
      <c r="G11" s="56"/>
      <c r="H11" s="57"/>
      <c r="I11" s="57"/>
      <c r="J11" s="51">
        <f t="shared" si="3"/>
        <v>0</v>
      </c>
      <c r="K11" s="107"/>
      <c r="L11" s="58"/>
      <c r="M11" s="58"/>
      <c r="N11" s="57"/>
      <c r="O11" s="49"/>
      <c r="P11" s="61">
        <f t="shared" si="4"/>
        <v>0</v>
      </c>
      <c r="Q11" s="60">
        <f t="shared" si="5"/>
        <v>0</v>
      </c>
      <c r="R11" s="57"/>
      <c r="S11" s="57"/>
    </row>
    <row r="12" spans="1:19" x14ac:dyDescent="0.2">
      <c r="A12" s="55"/>
      <c r="B12" s="55"/>
      <c r="C12" s="56"/>
      <c r="D12" s="56"/>
      <c r="E12" s="49"/>
      <c r="F12" s="49"/>
      <c r="G12" s="56"/>
      <c r="H12" s="57"/>
      <c r="I12" s="57"/>
      <c r="J12" s="51">
        <f t="shared" si="3"/>
        <v>0</v>
      </c>
      <c r="K12" s="107"/>
      <c r="L12" s="58"/>
      <c r="M12" s="58"/>
      <c r="N12" s="57"/>
      <c r="O12" s="49"/>
      <c r="P12" s="61">
        <f t="shared" si="4"/>
        <v>0</v>
      </c>
      <c r="Q12" s="60">
        <f t="shared" si="5"/>
        <v>0</v>
      </c>
      <c r="R12" s="57"/>
      <c r="S12" s="57"/>
    </row>
    <row r="13" spans="1:19" x14ac:dyDescent="0.2">
      <c r="A13" s="55"/>
      <c r="B13" s="55"/>
      <c r="C13" s="56"/>
      <c r="D13" s="56"/>
      <c r="E13" s="49"/>
      <c r="F13" s="49"/>
      <c r="G13" s="56"/>
      <c r="H13" s="57"/>
      <c r="I13" s="57"/>
      <c r="J13" s="51">
        <f t="shared" si="3"/>
        <v>0</v>
      </c>
      <c r="K13" s="107"/>
      <c r="L13" s="58"/>
      <c r="M13" s="58"/>
      <c r="N13" s="57"/>
      <c r="O13" s="49"/>
      <c r="P13" s="61">
        <f t="shared" si="4"/>
        <v>0</v>
      </c>
      <c r="Q13" s="60">
        <f t="shared" si="5"/>
        <v>0</v>
      </c>
      <c r="R13" s="57"/>
      <c r="S13" s="57"/>
    </row>
    <row r="14" spans="1:19" x14ac:dyDescent="0.2">
      <c r="A14" s="55"/>
      <c r="B14" s="55"/>
      <c r="C14" s="56"/>
      <c r="D14" s="56"/>
      <c r="E14" s="49"/>
      <c r="F14" s="49"/>
      <c r="G14" s="56"/>
      <c r="H14" s="57"/>
      <c r="I14" s="57"/>
      <c r="J14" s="51">
        <f t="shared" si="3"/>
        <v>0</v>
      </c>
      <c r="K14" s="107"/>
      <c r="L14" s="58"/>
      <c r="M14" s="58"/>
      <c r="N14" s="57"/>
      <c r="O14" s="49"/>
      <c r="P14" s="61">
        <f t="shared" si="4"/>
        <v>0</v>
      </c>
      <c r="Q14" s="60">
        <f t="shared" si="5"/>
        <v>0</v>
      </c>
      <c r="R14" s="57"/>
      <c r="S14" s="57"/>
    </row>
    <row r="15" spans="1:19" x14ac:dyDescent="0.2">
      <c r="A15" s="55"/>
      <c r="B15" s="55"/>
      <c r="C15" s="56"/>
      <c r="D15" s="56"/>
      <c r="E15" s="49"/>
      <c r="F15" s="49"/>
      <c r="G15" s="56"/>
      <c r="H15" s="57"/>
      <c r="I15" s="57"/>
      <c r="J15" s="51">
        <f t="shared" si="3"/>
        <v>0</v>
      </c>
      <c r="K15" s="107"/>
      <c r="L15" s="58"/>
      <c r="M15" s="58"/>
      <c r="N15" s="57"/>
      <c r="O15" s="49"/>
      <c r="P15" s="61">
        <f t="shared" si="4"/>
        <v>0</v>
      </c>
      <c r="Q15" s="60">
        <f t="shared" si="5"/>
        <v>0</v>
      </c>
      <c r="R15" s="57"/>
      <c r="S15" s="57"/>
    </row>
    <row r="16" spans="1:19" x14ac:dyDescent="0.2">
      <c r="A16" s="55"/>
      <c r="B16" s="55"/>
      <c r="C16" s="56"/>
      <c r="D16" s="56"/>
      <c r="E16" s="49"/>
      <c r="F16" s="49"/>
      <c r="G16" s="56"/>
      <c r="H16" s="57"/>
      <c r="I16" s="57"/>
      <c r="J16" s="51">
        <f t="shared" si="3"/>
        <v>0</v>
      </c>
      <c r="K16" s="107"/>
      <c r="L16" s="58"/>
      <c r="M16" s="58"/>
      <c r="N16" s="57"/>
      <c r="O16" s="49"/>
      <c r="P16" s="61">
        <f t="shared" si="4"/>
        <v>0</v>
      </c>
      <c r="Q16" s="60">
        <f t="shared" si="5"/>
        <v>0</v>
      </c>
      <c r="R16" s="57"/>
      <c r="S16" s="57"/>
    </row>
    <row r="17" spans="1:19" x14ac:dyDescent="0.2">
      <c r="A17" s="55"/>
      <c r="B17" s="55"/>
      <c r="C17" s="56"/>
      <c r="D17" s="56"/>
      <c r="E17" s="49"/>
      <c r="F17" s="49"/>
      <c r="G17" s="56"/>
      <c r="H17" s="57"/>
      <c r="I17" s="57"/>
      <c r="J17" s="51">
        <f t="shared" si="3"/>
        <v>0</v>
      </c>
      <c r="K17" s="107"/>
      <c r="L17" s="58"/>
      <c r="M17" s="58"/>
      <c r="N17" s="57"/>
      <c r="O17" s="49"/>
      <c r="P17" s="61">
        <f t="shared" si="4"/>
        <v>0</v>
      </c>
      <c r="Q17" s="60">
        <f t="shared" si="5"/>
        <v>0</v>
      </c>
      <c r="R17" s="57"/>
      <c r="S17" s="57"/>
    </row>
    <row r="18" spans="1:19" x14ac:dyDescent="0.2">
      <c r="A18" s="55"/>
      <c r="B18" s="55"/>
      <c r="C18" s="56"/>
      <c r="D18" s="56"/>
      <c r="E18" s="49"/>
      <c r="F18" s="49"/>
      <c r="G18" s="56"/>
      <c r="H18" s="57"/>
      <c r="I18" s="57"/>
      <c r="J18" s="51">
        <f t="shared" si="3"/>
        <v>0</v>
      </c>
      <c r="K18" s="107"/>
      <c r="L18" s="58"/>
      <c r="M18" s="58"/>
      <c r="N18" s="57"/>
      <c r="O18" s="49"/>
      <c r="P18" s="61">
        <f t="shared" si="4"/>
        <v>0</v>
      </c>
      <c r="Q18" s="60">
        <f t="shared" si="5"/>
        <v>0</v>
      </c>
      <c r="R18" s="57"/>
      <c r="S18" s="57"/>
    </row>
    <row r="19" spans="1:19" x14ac:dyDescent="0.2">
      <c r="A19" s="55"/>
      <c r="B19" s="55"/>
      <c r="C19" s="56"/>
      <c r="D19" s="56"/>
      <c r="E19" s="49"/>
      <c r="F19" s="49"/>
      <c r="G19" s="56"/>
      <c r="H19" s="57"/>
      <c r="I19" s="57"/>
      <c r="J19" s="51">
        <f t="shared" si="3"/>
        <v>0</v>
      </c>
      <c r="K19" s="107"/>
      <c r="L19" s="58"/>
      <c r="M19" s="58"/>
      <c r="N19" s="57"/>
      <c r="O19" s="49"/>
      <c r="P19" s="61">
        <f t="shared" si="4"/>
        <v>0</v>
      </c>
      <c r="Q19" s="60">
        <f t="shared" si="5"/>
        <v>0</v>
      </c>
      <c r="R19" s="57"/>
      <c r="S19" s="57"/>
    </row>
    <row r="20" spans="1:19" x14ac:dyDescent="0.2">
      <c r="A20" s="55"/>
      <c r="B20" s="55"/>
      <c r="C20" s="56"/>
      <c r="D20" s="56"/>
      <c r="E20" s="49"/>
      <c r="F20" s="49"/>
      <c r="G20" s="56"/>
      <c r="H20" s="57"/>
      <c r="I20" s="57"/>
      <c r="J20" s="51">
        <f t="shared" si="3"/>
        <v>0</v>
      </c>
      <c r="K20" s="107"/>
      <c r="L20" s="58"/>
      <c r="M20" s="58"/>
      <c r="N20" s="57"/>
      <c r="O20" s="49"/>
      <c r="P20" s="61">
        <f t="shared" si="4"/>
        <v>0</v>
      </c>
      <c r="Q20" s="60">
        <f t="shared" si="5"/>
        <v>0</v>
      </c>
      <c r="R20" s="57"/>
      <c r="S20" s="57"/>
    </row>
    <row r="21" spans="1:19" x14ac:dyDescent="0.2">
      <c r="A21" s="55"/>
      <c r="B21" s="55"/>
      <c r="C21" s="56"/>
      <c r="D21" s="56"/>
      <c r="E21" s="49"/>
      <c r="F21" s="49"/>
      <c r="G21" s="56"/>
      <c r="H21" s="57"/>
      <c r="I21" s="57"/>
      <c r="J21" s="51">
        <f t="shared" si="3"/>
        <v>0</v>
      </c>
      <c r="K21" s="107"/>
      <c r="L21" s="58"/>
      <c r="M21" s="58"/>
      <c r="N21" s="57"/>
      <c r="O21" s="49"/>
      <c r="P21" s="61">
        <f t="shared" si="4"/>
        <v>0</v>
      </c>
      <c r="Q21" s="60">
        <f t="shared" si="5"/>
        <v>0</v>
      </c>
      <c r="R21" s="57"/>
      <c r="S21" s="57"/>
    </row>
    <row r="22" spans="1:19" x14ac:dyDescent="0.2">
      <c r="A22" s="55"/>
      <c r="B22" s="55"/>
      <c r="C22" s="56"/>
      <c r="D22" s="56"/>
      <c r="E22" s="49"/>
      <c r="F22" s="49"/>
      <c r="G22" s="56"/>
      <c r="H22" s="57"/>
      <c r="I22" s="57"/>
      <c r="J22" s="51">
        <f t="shared" si="3"/>
        <v>0</v>
      </c>
      <c r="K22" s="107"/>
      <c r="L22" s="58"/>
      <c r="M22" s="58"/>
      <c r="N22" s="57"/>
      <c r="O22" s="49"/>
      <c r="P22" s="61">
        <f t="shared" si="4"/>
        <v>0</v>
      </c>
      <c r="Q22" s="60">
        <f t="shared" si="5"/>
        <v>0</v>
      </c>
      <c r="R22" s="57"/>
      <c r="S22" s="57"/>
    </row>
    <row r="23" spans="1:19" x14ac:dyDescent="0.2">
      <c r="A23" s="55"/>
      <c r="B23" s="55"/>
      <c r="C23" s="56"/>
      <c r="D23" s="56"/>
      <c r="E23" s="49"/>
      <c r="F23" s="49"/>
      <c r="G23" s="56"/>
      <c r="H23" s="57"/>
      <c r="I23" s="57"/>
      <c r="J23" s="51">
        <f t="shared" si="3"/>
        <v>0</v>
      </c>
      <c r="K23" s="107"/>
      <c r="L23" s="58"/>
      <c r="M23" s="58"/>
      <c r="N23" s="57"/>
      <c r="O23" s="49"/>
      <c r="P23" s="61">
        <f t="shared" si="4"/>
        <v>0</v>
      </c>
      <c r="Q23" s="60">
        <f t="shared" si="5"/>
        <v>0</v>
      </c>
      <c r="R23" s="57"/>
      <c r="S23" s="57"/>
    </row>
    <row r="24" spans="1:19" x14ac:dyDescent="0.2">
      <c r="A24" s="55"/>
      <c r="B24" s="55"/>
      <c r="C24" s="56"/>
      <c r="D24" s="56"/>
      <c r="E24" s="49"/>
      <c r="F24" s="49"/>
      <c r="G24" s="56"/>
      <c r="H24" s="57"/>
      <c r="I24" s="57"/>
      <c r="J24" s="51">
        <f t="shared" si="3"/>
        <v>0</v>
      </c>
      <c r="K24" s="107"/>
      <c r="L24" s="58"/>
      <c r="M24" s="58"/>
      <c r="N24" s="57"/>
      <c r="O24" s="49"/>
      <c r="P24" s="61">
        <f t="shared" si="4"/>
        <v>0</v>
      </c>
      <c r="Q24" s="60">
        <f t="shared" si="5"/>
        <v>0</v>
      </c>
      <c r="R24" s="57"/>
      <c r="S24" s="57"/>
    </row>
    <row r="25" spans="1:19" x14ac:dyDescent="0.2">
      <c r="A25" s="55"/>
      <c r="B25" s="55"/>
      <c r="C25" s="56"/>
      <c r="D25" s="56"/>
      <c r="E25" s="49"/>
      <c r="F25" s="49"/>
      <c r="G25" s="56"/>
      <c r="H25" s="57"/>
      <c r="I25" s="57"/>
      <c r="J25" s="51">
        <f t="shared" si="3"/>
        <v>0</v>
      </c>
      <c r="K25" s="107"/>
      <c r="L25" s="58"/>
      <c r="M25" s="58"/>
      <c r="N25" s="57"/>
      <c r="O25" s="49"/>
      <c r="P25" s="61">
        <f t="shared" si="4"/>
        <v>0</v>
      </c>
      <c r="Q25" s="60">
        <f t="shared" si="5"/>
        <v>0</v>
      </c>
      <c r="R25" s="57"/>
      <c r="S25" s="57"/>
    </row>
    <row r="26" spans="1:19" x14ac:dyDescent="0.2">
      <c r="A26" s="55"/>
      <c r="B26" s="55"/>
      <c r="C26" s="56"/>
      <c r="D26" s="56"/>
      <c r="E26" s="49"/>
      <c r="F26" s="49"/>
      <c r="G26" s="56"/>
      <c r="H26" s="57"/>
      <c r="I26" s="57"/>
      <c r="J26" s="51">
        <f t="shared" si="3"/>
        <v>0</v>
      </c>
      <c r="K26" s="107"/>
      <c r="L26" s="58"/>
      <c r="M26" s="58"/>
      <c r="N26" s="57"/>
      <c r="O26" s="49"/>
      <c r="P26" s="61">
        <f t="shared" si="4"/>
        <v>0</v>
      </c>
      <c r="Q26" s="60">
        <f t="shared" si="5"/>
        <v>0</v>
      </c>
      <c r="R26" s="57"/>
      <c r="S26" s="57"/>
    </row>
    <row r="27" spans="1:19" x14ac:dyDescent="0.2">
      <c r="A27" s="55"/>
      <c r="B27" s="55"/>
      <c r="C27" s="56"/>
      <c r="D27" s="56"/>
      <c r="E27" s="49"/>
      <c r="F27" s="49"/>
      <c r="G27" s="56"/>
      <c r="H27" s="57"/>
      <c r="I27" s="57"/>
      <c r="J27" s="51">
        <f t="shared" si="3"/>
        <v>0</v>
      </c>
      <c r="K27" s="107"/>
      <c r="L27" s="58"/>
      <c r="M27" s="58"/>
      <c r="N27" s="57"/>
      <c r="O27" s="49"/>
      <c r="P27" s="61">
        <f t="shared" si="4"/>
        <v>0</v>
      </c>
      <c r="Q27" s="60">
        <f t="shared" si="5"/>
        <v>0</v>
      </c>
      <c r="R27" s="57"/>
      <c r="S27" s="57"/>
    </row>
    <row r="28" spans="1:19" ht="39.950000000000003" customHeight="1" x14ac:dyDescent="0.2">
      <c r="K28" t="s">
        <v>32</v>
      </c>
    </row>
    <row r="29" spans="1:19" ht="39.950000000000003" customHeight="1" x14ac:dyDescent="0.2"/>
    <row r="30" spans="1:19" ht="39.950000000000003" customHeight="1" x14ac:dyDescent="0.2"/>
    <row r="31" spans="1:19" ht="39.950000000000003" customHeight="1" x14ac:dyDescent="0.2"/>
    <row r="32" spans="1:19" ht="39.950000000000003" customHeight="1" x14ac:dyDescent="0.2"/>
    <row r="33" ht="39" customHeight="1" x14ac:dyDescent="0.2"/>
  </sheetData>
  <mergeCells count="34">
    <mergeCell ref="S6:S7"/>
    <mergeCell ref="P5:S5"/>
    <mergeCell ref="N2:O2"/>
    <mergeCell ref="P4:S4"/>
    <mergeCell ref="H3:K3"/>
    <mergeCell ref="N6:N7"/>
    <mergeCell ref="P2:S2"/>
    <mergeCell ref="N5:O5"/>
    <mergeCell ref="P3:S3"/>
    <mergeCell ref="N3:O3"/>
    <mergeCell ref="B6:B7"/>
    <mergeCell ref="C6:C7"/>
    <mergeCell ref="E6:E7"/>
    <mergeCell ref="H5:K5"/>
    <mergeCell ref="A2:D2"/>
    <mergeCell ref="E5:G5"/>
    <mergeCell ref="H4:K4"/>
    <mergeCell ref="G6:G7"/>
    <mergeCell ref="E1:G1"/>
    <mergeCell ref="K6:K7"/>
    <mergeCell ref="A5:D5"/>
    <mergeCell ref="M6:M7"/>
    <mergeCell ref="A1:D1"/>
    <mergeCell ref="E2:G2"/>
    <mergeCell ref="A6:A7"/>
    <mergeCell ref="A3:C4"/>
    <mergeCell ref="F6:F7"/>
    <mergeCell ref="L6:L7"/>
    <mergeCell ref="H1:S1"/>
    <mergeCell ref="D6:D7"/>
    <mergeCell ref="H2:K2"/>
    <mergeCell ref="R6:R7"/>
    <mergeCell ref="N4:O4"/>
    <mergeCell ref="E3:G4"/>
  </mergeCells>
  <conditionalFormatting sqref="J8:J27 P8:P27">
    <cfRule type="cellIs" dxfId="19" priority="2" operator="equal">
      <formula>0</formula>
    </cfRule>
  </conditionalFormatting>
  <conditionalFormatting sqref="J8:J27">
    <cfRule type="cellIs" dxfId="18" priority="7" operator="between">
      <formula>17</formula>
      <formula>25</formula>
    </cfRule>
    <cfRule type="cellIs" dxfId="17" priority="8" operator="between">
      <formula>10</formula>
      <formula>16</formula>
    </cfRule>
    <cfRule type="cellIs" dxfId="16" priority="9" operator="between">
      <formula>4</formula>
      <formula>9</formula>
    </cfRule>
    <cfRule type="cellIs" dxfId="15" priority="10" operator="between">
      <formula>1</formula>
      <formula>3</formula>
    </cfRule>
  </conditionalFormatting>
  <conditionalFormatting sqref="P8:P27">
    <cfRule type="cellIs" dxfId="14" priority="3" operator="between">
      <formula>17</formula>
      <formula>25</formula>
    </cfRule>
    <cfRule type="cellIs" dxfId="13" priority="4" operator="between">
      <formula>10</formula>
      <formula>16.9999999999999</formula>
    </cfRule>
    <cfRule type="cellIs" dxfId="12" priority="5" operator="between">
      <formula>4</formula>
      <formula>9.99999999999999</formula>
    </cfRule>
    <cfRule type="cellIs" dxfId="11" priority="6" operator="between">
      <formula>0</formula>
      <formula>3.99999999999999</formula>
    </cfRule>
  </conditionalFormatting>
  <dataValidations count="5">
    <dataValidation type="list" allowBlank="1" showInputMessage="1" showErrorMessage="1" sqref="M28:M1048576 R28:R1048576" xr:uid="{00000000-0002-0000-0000-000000000000}">
      <formula1>INDIRECT("Table5[CtrlOrdenTrabajo]")</formula1>
    </dataValidation>
    <dataValidation type="list" allowBlank="1" showInputMessage="1" showErrorMessage="1" sqref="G28:G1048576" xr:uid="{00000000-0002-0000-0000-000001000000}">
      <formula1>INDIRECT("Table4[Control-Influencia]")</formula1>
    </dataValidation>
    <dataValidation type="list" allowBlank="1" showInputMessage="1" showErrorMessage="1" sqref="H8:I27" xr:uid="{00000000-0002-0000-0000-000002000000}">
      <formula1>"1,2,3,4,5"</formula1>
    </dataValidation>
    <dataValidation type="list" allowBlank="1" showDropDown="1" sqref="D28:D500" xr:uid="{00000000-0002-0000-0000-000003000000}">
      <formula1>ListaCategoriasRiesgo</formula1>
    </dataValidation>
    <dataValidation type="list" allowBlank="1" sqref="D8:D27" xr:uid="{9A495DDF-514B-4185-B22D-68BD74FD2B82}">
      <formula1>ListaCategoriasRiesgo</formula1>
    </dataValidation>
  </dataValidations>
  <pageMargins left="0.70866141732283472" right="0.70866141732283472" top="0.74803149606299213" bottom="0.74803149606299213" header="0.31496062992125984" footer="0.31496062992125984"/>
  <pageSetup scale="48" orientation="landscape" r:id="rId1"/>
  <headerFooter>
    <oddFooter>&amp;L16-HS80-8000-00019 Rev C / 16-HS20-8000-00037&amp;RTIEMPO DE RETENCION EN EL PUNTO DE ORIGEN: N/A
ARCHIVO MUERTO: N/A
MEDIO DE REGISTRO: ELECTRONICO</oddFooter>
  </headerFooter>
  <legacyDrawing r:id="rId2"/>
  <extLst>
    <ext xmlns:x14="http://schemas.microsoft.com/office/spreadsheetml/2009/9/main" uri="{CCE6A557-97BC-4b89-ADB6-D9C93CAAB3DF}">
      <x14:dataValidations xmlns:xm="http://schemas.microsoft.com/office/excel/2006/main" count="7">
        <x14:dataValidation type="list" allowBlank="1" showDropDown="1" xr:uid="{00000000-0002-0000-0000-000004000000}">
          <x14:formula1>
            <xm:f>INDIRECT(VLOOKUP(D28,Map_Riesgos!$A:$B,2,FALSE))</xm:f>
          </x14:formula1>
          <xm:sqref>E28:E500</xm:sqref>
        </x14:dataValidation>
        <x14:dataValidation type="list" allowBlank="1" showDropDown="1" xr:uid="{00000000-0002-0000-0000-000005000000}">
          <x14:formula1>
            <xm:f>INDIRECT(VLOOKUP(E28,Map_Consecuencias!$A:$B,2,FALSE))</xm:f>
          </x14:formula1>
          <xm:sqref>F28:F500</xm:sqref>
        </x14:dataValidation>
        <x14:dataValidation type="list" allowBlank="1" xr:uid="{F3B52761-4643-40B4-B7B3-CACD259F8FA9}">
          <x14:formula1>
            <xm:f>INDIRECT(VLOOKUP(D8,Map_Riesgos!$A:$B,2,FALSE))</xm:f>
          </x14:formula1>
          <xm:sqref>E8:E27</xm:sqref>
        </x14:dataValidation>
        <x14:dataValidation type="list" allowBlank="1" xr:uid="{89CADC67-D5CC-4F62-A463-5977A97BD93F}">
          <x14:formula1>
            <xm:f>INDIRECT(VLOOKUP(E8,Map_Consecuencias!$A:$B,2,FALSE))</xm:f>
          </x14:formula1>
          <xm:sqref>F8:F27</xm:sqref>
        </x14:dataValidation>
        <x14:dataValidation type="list" allowBlank="1" showInputMessage="1" showErrorMessage="1" xr:uid="{D2CDEFAF-19C1-4E56-81EA-838AB002926C}">
          <x14:formula1>
            <xm:f>'Tabla Guia de Peligros'!$A$92:$A$95</xm:f>
          </x14:formula1>
          <xm:sqref>A8:A27</xm:sqref>
        </x14:dataValidation>
        <x14:dataValidation type="list" allowBlank="1" showInputMessage="1" showErrorMessage="1" xr:uid="{4E39AB0B-572B-4851-9E5A-616D1F857ACD}">
          <x14:formula1>
            <xm:f>'Tabla Guia de Peligros'!$A$106:$A$107</xm:f>
          </x14:formula1>
          <xm:sqref>G8:G27</xm:sqref>
        </x14:dataValidation>
        <x14:dataValidation type="list" allowBlank="1" showInputMessage="1" showErrorMessage="1" xr:uid="{712E278B-A389-4F78-8B2D-F937FC267A9C}">
          <x14:formula1>
            <xm:f>'Tabla Guia de Peligros'!$A$98:$A$102</xm:f>
          </x14:formula1>
          <xm:sqref>O8:O27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
  <sheetViews>
    <sheetView workbookViewId="0">
      <selection activeCell="C2" sqref="C2"/>
    </sheetView>
  </sheetViews>
  <sheetFormatPr defaultColWidth="9.140625"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AAE7-287E-4577-93A9-75A189F69CE8}">
  <dimension ref="B2:G2"/>
  <sheetViews>
    <sheetView view="pageBreakPreview" zoomScale="60" zoomScaleNormal="100" workbookViewId="0">
      <selection activeCell="U44" sqref="U44"/>
    </sheetView>
  </sheetViews>
  <sheetFormatPr defaultColWidth="9.140625" defaultRowHeight="12.75" x14ac:dyDescent="0.2"/>
  <cols>
    <col min="2" max="3" width="15.7109375" customWidth="1"/>
    <col min="4" max="4" width="79.85546875" customWidth="1"/>
    <col min="5" max="5" width="27.42578125" customWidth="1"/>
    <col min="6" max="6" width="16.42578125" customWidth="1"/>
    <col min="7" max="7" width="25.140625" customWidth="1"/>
  </cols>
  <sheetData>
    <row r="2" spans="2:7" x14ac:dyDescent="0.2">
      <c r="B2" s="50" t="s">
        <v>33</v>
      </c>
      <c r="C2" s="50" t="s">
        <v>34</v>
      </c>
      <c r="D2" s="50" t="s">
        <v>35</v>
      </c>
      <c r="E2" s="50" t="s">
        <v>36</v>
      </c>
      <c r="F2" s="50" t="s">
        <v>37</v>
      </c>
      <c r="G2" s="50" t="s">
        <v>38</v>
      </c>
    </row>
  </sheetData>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33"/>
  <sheetViews>
    <sheetView view="pageBreakPreview" topLeftCell="H1" zoomScale="60" zoomScaleNormal="100" workbookViewId="0">
      <selection activeCell="X8" sqref="X8"/>
    </sheetView>
  </sheetViews>
  <sheetFormatPr defaultColWidth="9.140625" defaultRowHeight="12.75" x14ac:dyDescent="0.2"/>
  <cols>
    <col min="2" max="2" width="50.5703125" customWidth="1"/>
    <col min="6" max="6" width="19.42578125" bestFit="1" customWidth="1"/>
    <col min="7" max="7" width="14.140625" bestFit="1" customWidth="1"/>
    <col min="8" max="8" width="100.42578125" customWidth="1"/>
    <col min="11" max="14" width="20" customWidth="1"/>
    <col min="16" max="16" width="10.7109375" bestFit="1" customWidth="1"/>
    <col min="17" max="17" width="29.85546875" customWidth="1"/>
    <col min="20" max="20" width="39.85546875" customWidth="1"/>
  </cols>
  <sheetData>
    <row r="1" spans="2:20" ht="13.5" thickBot="1" x14ac:dyDescent="0.25"/>
    <row r="2" spans="2:20" ht="27.6" customHeight="1" thickBot="1" x14ac:dyDescent="0.25">
      <c r="B2" s="71" t="s">
        <v>39</v>
      </c>
      <c r="F2" s="72" t="s">
        <v>40</v>
      </c>
      <c r="G2" s="72" t="s">
        <v>41</v>
      </c>
      <c r="H2" s="72" t="s">
        <v>42</v>
      </c>
      <c r="J2" s="153" t="s">
        <v>43</v>
      </c>
      <c r="K2" s="154"/>
      <c r="L2" s="154"/>
      <c r="M2" s="154"/>
      <c r="N2" s="152"/>
      <c r="P2" s="151" t="s">
        <v>44</v>
      </c>
      <c r="Q2" s="152"/>
      <c r="S2" s="151" t="s">
        <v>45</v>
      </c>
      <c r="T2" s="152"/>
    </row>
    <row r="3" spans="2:20" ht="37.5" customHeight="1" thickBot="1" x14ac:dyDescent="0.25">
      <c r="B3" s="111" t="s">
        <v>46</v>
      </c>
      <c r="F3" s="73" t="s">
        <v>47</v>
      </c>
      <c r="G3" s="73" t="s">
        <v>48</v>
      </c>
      <c r="H3" s="74" t="s">
        <v>49</v>
      </c>
      <c r="J3" s="86" t="s">
        <v>50</v>
      </c>
      <c r="K3" s="83" t="s">
        <v>51</v>
      </c>
      <c r="L3" s="84" t="s">
        <v>52</v>
      </c>
      <c r="M3" s="84" t="s">
        <v>53</v>
      </c>
      <c r="N3" s="85" t="s">
        <v>54</v>
      </c>
      <c r="P3" s="87" t="s">
        <v>55</v>
      </c>
      <c r="Q3" s="86" t="s">
        <v>56</v>
      </c>
      <c r="S3" s="115">
        <v>1</v>
      </c>
      <c r="T3" s="102" t="s">
        <v>57</v>
      </c>
    </row>
    <row r="4" spans="2:20" ht="90" thickBot="1" x14ac:dyDescent="0.25">
      <c r="B4" s="111" t="s">
        <v>58</v>
      </c>
      <c r="F4" s="75" t="s">
        <v>59</v>
      </c>
      <c r="G4" s="75" t="s">
        <v>60</v>
      </c>
      <c r="H4" s="76" t="s">
        <v>61</v>
      </c>
      <c r="J4" s="90">
        <v>1</v>
      </c>
      <c r="K4" s="88" t="s">
        <v>62</v>
      </c>
      <c r="L4" s="81" t="s">
        <v>63</v>
      </c>
      <c r="M4" s="81" t="s">
        <v>64</v>
      </c>
      <c r="N4" s="93" t="s">
        <v>65</v>
      </c>
      <c r="P4" s="90">
        <v>1</v>
      </c>
      <c r="Q4" s="101" t="s">
        <v>66</v>
      </c>
      <c r="S4" s="106">
        <v>2</v>
      </c>
      <c r="T4" s="103" t="s">
        <v>67</v>
      </c>
    </row>
    <row r="5" spans="2:20" ht="90" x14ac:dyDescent="0.2">
      <c r="B5" s="111" t="s">
        <v>68</v>
      </c>
      <c r="F5" s="77" t="s">
        <v>69</v>
      </c>
      <c r="G5" s="77" t="s">
        <v>70</v>
      </c>
      <c r="H5" s="78" t="s">
        <v>71</v>
      </c>
      <c r="J5" s="91">
        <v>2</v>
      </c>
      <c r="K5" s="89" t="s">
        <v>72</v>
      </c>
      <c r="L5" s="82" t="s">
        <v>73</v>
      </c>
      <c r="M5" s="82" t="s">
        <v>74</v>
      </c>
      <c r="N5" s="94" t="s">
        <v>75</v>
      </c>
      <c r="P5" s="91">
        <v>2</v>
      </c>
      <c r="Q5" s="100" t="s">
        <v>76</v>
      </c>
      <c r="S5" s="116">
        <v>3</v>
      </c>
      <c r="T5" s="104" t="s">
        <v>77</v>
      </c>
    </row>
    <row r="6" spans="2:20" ht="101.25" x14ac:dyDescent="0.2">
      <c r="B6" s="111" t="s">
        <v>78</v>
      </c>
      <c r="F6" s="79" t="s">
        <v>79</v>
      </c>
      <c r="G6" s="79" t="s">
        <v>80</v>
      </c>
      <c r="H6" s="80" t="s">
        <v>81</v>
      </c>
      <c r="J6" s="91">
        <v>3</v>
      </c>
      <c r="K6" s="89" t="s">
        <v>82</v>
      </c>
      <c r="L6" s="82" t="s">
        <v>83</v>
      </c>
      <c r="M6" s="82" t="s">
        <v>84</v>
      </c>
      <c r="N6" s="95" t="s">
        <v>85</v>
      </c>
      <c r="P6" s="91">
        <v>3</v>
      </c>
      <c r="Q6" s="100" t="s">
        <v>86</v>
      </c>
      <c r="S6" s="117">
        <v>4</v>
      </c>
      <c r="T6" s="104" t="s">
        <v>87</v>
      </c>
    </row>
    <row r="7" spans="2:20" ht="79.5" thickBot="1" x14ac:dyDescent="0.25">
      <c r="B7" s="111" t="s">
        <v>88</v>
      </c>
      <c r="J7" s="91">
        <v>4</v>
      </c>
      <c r="K7" s="89" t="s">
        <v>89</v>
      </c>
      <c r="L7" s="82" t="s">
        <v>90</v>
      </c>
      <c r="M7" s="82" t="s">
        <v>91</v>
      </c>
      <c r="N7" s="94" t="s">
        <v>92</v>
      </c>
      <c r="P7" s="91">
        <v>4</v>
      </c>
      <c r="Q7" s="100" t="s">
        <v>93</v>
      </c>
      <c r="S7" s="113">
        <v>5</v>
      </c>
      <c r="T7" s="105" t="s">
        <v>94</v>
      </c>
    </row>
    <row r="8" spans="2:20" ht="90.75" thickBot="1" x14ac:dyDescent="0.25">
      <c r="B8" s="111" t="s">
        <v>95</v>
      </c>
      <c r="J8" s="92">
        <v>5</v>
      </c>
      <c r="K8" s="96" t="s">
        <v>96</v>
      </c>
      <c r="L8" s="97" t="s">
        <v>97</v>
      </c>
      <c r="M8" s="97" t="s">
        <v>98</v>
      </c>
      <c r="N8" s="98" t="s">
        <v>99</v>
      </c>
      <c r="P8" s="92">
        <v>5</v>
      </c>
      <c r="Q8" s="99" t="s">
        <v>100</v>
      </c>
    </row>
    <row r="9" spans="2:20" ht="25.5" customHeight="1" x14ac:dyDescent="0.2">
      <c r="B9" s="111" t="s">
        <v>101</v>
      </c>
    </row>
    <row r="10" spans="2:20" ht="69.599999999999994" customHeight="1" x14ac:dyDescent="0.2">
      <c r="B10" s="111" t="s">
        <v>102</v>
      </c>
    </row>
    <row r="11" spans="2:20" ht="97.5" customHeight="1" x14ac:dyDescent="0.2">
      <c r="B11" s="111" t="s">
        <v>103</v>
      </c>
    </row>
    <row r="12" spans="2:20" ht="80.099999999999994" customHeight="1" x14ac:dyDescent="0.2">
      <c r="B12" s="111" t="s">
        <v>104</v>
      </c>
    </row>
    <row r="13" spans="2:20" ht="87" customHeight="1" x14ac:dyDescent="0.2">
      <c r="B13" s="111" t="s">
        <v>105</v>
      </c>
    </row>
    <row r="14" spans="2:20" ht="87.95" customHeight="1" x14ac:dyDescent="0.2">
      <c r="B14" s="111" t="s">
        <v>106</v>
      </c>
    </row>
    <row r="15" spans="2:20" ht="87.95" customHeight="1" x14ac:dyDescent="0.2">
      <c r="B15" s="111" t="s">
        <v>107</v>
      </c>
    </row>
    <row r="16" spans="2:20" ht="87.6" customHeight="1" x14ac:dyDescent="0.2">
      <c r="B16" s="111" t="s">
        <v>108</v>
      </c>
    </row>
    <row r="17" spans="2:2" ht="50.1" customHeight="1" x14ac:dyDescent="0.2">
      <c r="B17" s="111" t="s">
        <v>109</v>
      </c>
    </row>
    <row r="18" spans="2:2" ht="50.1" customHeight="1" x14ac:dyDescent="0.2">
      <c r="B18" s="111" t="s">
        <v>110</v>
      </c>
    </row>
    <row r="19" spans="2:2" ht="37.5" customHeight="1" x14ac:dyDescent="0.2">
      <c r="B19" s="111" t="s">
        <v>111</v>
      </c>
    </row>
    <row r="20" spans="2:2" ht="37.5" customHeight="1" x14ac:dyDescent="0.2">
      <c r="B20" s="111" t="s">
        <v>112</v>
      </c>
    </row>
    <row r="21" spans="2:2" ht="24.95" customHeight="1" x14ac:dyDescent="0.2">
      <c r="B21" s="111" t="s">
        <v>113</v>
      </c>
    </row>
    <row r="22" spans="2:2" ht="37.5" customHeight="1" x14ac:dyDescent="0.2">
      <c r="B22" s="111" t="s">
        <v>114</v>
      </c>
    </row>
    <row r="23" spans="2:2" ht="24.95" customHeight="1" x14ac:dyDescent="0.2">
      <c r="B23" s="111" t="s">
        <v>115</v>
      </c>
    </row>
    <row r="24" spans="2:2" ht="50.1" customHeight="1" x14ac:dyDescent="0.2">
      <c r="B24" s="111" t="s">
        <v>116</v>
      </c>
    </row>
    <row r="25" spans="2:2" ht="37.5" customHeight="1" x14ac:dyDescent="0.2">
      <c r="B25" s="111" t="s">
        <v>117</v>
      </c>
    </row>
    <row r="26" spans="2:2" ht="50.1" customHeight="1" x14ac:dyDescent="0.2">
      <c r="B26" s="111" t="s">
        <v>118</v>
      </c>
    </row>
    <row r="27" spans="2:2" ht="37.5" customHeight="1" x14ac:dyDescent="0.2">
      <c r="B27" s="111" t="s">
        <v>119</v>
      </c>
    </row>
    <row r="28" spans="2:2" ht="50.1" customHeight="1" x14ac:dyDescent="0.2">
      <c r="B28" s="111" t="s">
        <v>120</v>
      </c>
    </row>
    <row r="29" spans="2:2" ht="37.5" customHeight="1" x14ac:dyDescent="0.2">
      <c r="B29" s="111" t="s">
        <v>121</v>
      </c>
    </row>
    <row r="30" spans="2:2" ht="50.1" customHeight="1" x14ac:dyDescent="0.2">
      <c r="B30" s="111" t="s">
        <v>122</v>
      </c>
    </row>
    <row r="31" spans="2:2" ht="24.95" customHeight="1" x14ac:dyDescent="0.2">
      <c r="B31" s="111" t="s">
        <v>123</v>
      </c>
    </row>
    <row r="32" spans="2:2" ht="24.95" customHeight="1" x14ac:dyDescent="0.2">
      <c r="B32" s="111" t="s">
        <v>124</v>
      </c>
    </row>
    <row r="33" spans="2:2" ht="24.95" customHeight="1" x14ac:dyDescent="0.2">
      <c r="B33" s="112" t="s">
        <v>125</v>
      </c>
    </row>
  </sheetData>
  <mergeCells count="3">
    <mergeCell ref="P2:Q2"/>
    <mergeCell ref="J2:N2"/>
    <mergeCell ref="S2:T2"/>
  </mergeCells>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P50"/>
  <sheetViews>
    <sheetView view="pageBreakPreview" zoomScale="55" zoomScaleNormal="55" zoomScaleSheetLayoutView="55" workbookViewId="0">
      <selection activeCell="C1" sqref="C1:C32"/>
    </sheetView>
  </sheetViews>
  <sheetFormatPr defaultColWidth="9.140625" defaultRowHeight="12.75" x14ac:dyDescent="0.2"/>
  <cols>
    <col min="2" max="2" width="47.85546875" customWidth="1"/>
    <col min="3" max="3" width="56" style="24" customWidth="1"/>
    <col min="4" max="4" width="5.42578125" customWidth="1"/>
    <col min="7" max="8" width="44" customWidth="1"/>
    <col min="9" max="9" width="10.28515625" customWidth="1"/>
    <col min="10" max="16" width="17.5703125" customWidth="1"/>
    <col min="17" max="18" width="10.28515625" customWidth="1"/>
  </cols>
  <sheetData>
    <row r="1" spans="2:16" ht="124.5" customHeight="1" x14ac:dyDescent="0.45">
      <c r="B1" s="47" t="s">
        <v>126</v>
      </c>
      <c r="C1" s="48" t="s">
        <v>39</v>
      </c>
      <c r="D1" s="37"/>
      <c r="E1" s="37"/>
      <c r="F1" s="37"/>
      <c r="G1" s="47" t="s">
        <v>50</v>
      </c>
      <c r="H1" s="47" t="s">
        <v>127</v>
      </c>
      <c r="I1" s="25"/>
      <c r="J1" s="26"/>
      <c r="K1" s="26"/>
      <c r="L1" s="158" t="s">
        <v>50</v>
      </c>
      <c r="M1" s="119"/>
      <c r="N1" s="119"/>
      <c r="O1" s="119"/>
      <c r="P1" s="120"/>
    </row>
    <row r="2" spans="2:16" ht="124.5" customHeight="1" thickBot="1" x14ac:dyDescent="0.5">
      <c r="B2" s="45" t="s">
        <v>128</v>
      </c>
      <c r="C2" s="39" t="s">
        <v>46</v>
      </c>
      <c r="D2" s="44"/>
      <c r="E2" s="44"/>
      <c r="F2" s="44"/>
      <c r="G2" s="46" t="s">
        <v>129</v>
      </c>
      <c r="H2" s="46" t="s">
        <v>130</v>
      </c>
      <c r="I2" s="25"/>
      <c r="J2" s="26"/>
      <c r="K2" s="27"/>
      <c r="L2" s="27">
        <v>1</v>
      </c>
      <c r="M2" s="27">
        <v>2</v>
      </c>
      <c r="N2" s="27">
        <v>3</v>
      </c>
      <c r="O2" s="27">
        <v>4</v>
      </c>
      <c r="P2" s="27">
        <v>5</v>
      </c>
    </row>
    <row r="3" spans="2:16" ht="124.5" customHeight="1" thickTop="1" thickBot="1" x14ac:dyDescent="0.5">
      <c r="B3" s="41" t="s">
        <v>131</v>
      </c>
      <c r="C3" s="39" t="s">
        <v>58</v>
      </c>
      <c r="D3" s="44"/>
      <c r="E3" s="44"/>
      <c r="F3" s="44"/>
      <c r="G3" s="42" t="s">
        <v>132</v>
      </c>
      <c r="H3" s="40" t="s">
        <v>133</v>
      </c>
      <c r="I3" s="25"/>
      <c r="J3" s="159" t="s">
        <v>55</v>
      </c>
      <c r="K3" s="27">
        <v>5</v>
      </c>
      <c r="L3" s="28">
        <v>5</v>
      </c>
      <c r="M3" s="29">
        <v>10</v>
      </c>
      <c r="N3" s="29">
        <v>15</v>
      </c>
      <c r="O3" s="30">
        <v>20</v>
      </c>
      <c r="P3" s="30">
        <v>25</v>
      </c>
    </row>
    <row r="4" spans="2:16" ht="124.5" customHeight="1" thickTop="1" thickBot="1" x14ac:dyDescent="0.5">
      <c r="B4" s="41" t="s">
        <v>134</v>
      </c>
      <c r="C4" s="39" t="s">
        <v>68</v>
      </c>
      <c r="D4" s="44"/>
      <c r="E4" s="44"/>
      <c r="F4" s="44"/>
      <c r="G4" s="43" t="s">
        <v>135</v>
      </c>
      <c r="H4" s="40" t="s">
        <v>136</v>
      </c>
      <c r="I4" s="25"/>
      <c r="J4" s="160"/>
      <c r="K4" s="27">
        <v>4</v>
      </c>
      <c r="L4" s="28">
        <v>4</v>
      </c>
      <c r="M4" s="28">
        <v>8</v>
      </c>
      <c r="N4" s="29">
        <v>12</v>
      </c>
      <c r="O4" s="29">
        <v>16</v>
      </c>
      <c r="P4" s="30">
        <v>20</v>
      </c>
    </row>
    <row r="5" spans="2:16" ht="124.5" customHeight="1" thickTop="1" thickBot="1" x14ac:dyDescent="0.5">
      <c r="B5" s="38" t="s">
        <v>137</v>
      </c>
      <c r="C5" s="39" t="s">
        <v>78</v>
      </c>
      <c r="D5" s="44"/>
      <c r="E5" s="44"/>
      <c r="F5" s="44"/>
      <c r="G5" s="42" t="s">
        <v>138</v>
      </c>
      <c r="H5" s="40" t="s">
        <v>139</v>
      </c>
      <c r="I5" s="25"/>
      <c r="J5" s="160"/>
      <c r="K5" s="27">
        <v>3</v>
      </c>
      <c r="L5" s="31">
        <v>3</v>
      </c>
      <c r="M5" s="28">
        <v>6</v>
      </c>
      <c r="N5" s="28">
        <v>9</v>
      </c>
      <c r="O5" s="29">
        <v>12</v>
      </c>
      <c r="P5" s="29">
        <v>15</v>
      </c>
    </row>
    <row r="6" spans="2:16" ht="124.5" customHeight="1" thickTop="1" x14ac:dyDescent="0.45">
      <c r="B6" s="41" t="s">
        <v>140</v>
      </c>
      <c r="C6" s="39" t="s">
        <v>88</v>
      </c>
      <c r="D6" s="44"/>
      <c r="E6" s="44"/>
      <c r="F6" s="44"/>
      <c r="G6" s="43" t="s">
        <v>141</v>
      </c>
      <c r="H6" s="40" t="s">
        <v>142</v>
      </c>
      <c r="I6" s="25"/>
      <c r="J6" s="160"/>
      <c r="K6" s="27">
        <v>2</v>
      </c>
      <c r="L6" s="31">
        <v>2</v>
      </c>
      <c r="M6" s="28">
        <v>4</v>
      </c>
      <c r="N6" s="28">
        <v>6</v>
      </c>
      <c r="O6" s="28">
        <v>8</v>
      </c>
      <c r="P6" s="29">
        <v>10</v>
      </c>
    </row>
    <row r="7" spans="2:16" ht="124.5" customHeight="1" x14ac:dyDescent="0.45">
      <c r="B7" s="38" t="s">
        <v>143</v>
      </c>
      <c r="C7" s="39" t="s">
        <v>95</v>
      </c>
      <c r="D7" s="44"/>
      <c r="E7" s="44"/>
      <c r="F7" s="44"/>
      <c r="G7" s="44"/>
      <c r="H7" s="44"/>
      <c r="I7" s="25"/>
      <c r="J7" s="161"/>
      <c r="K7" s="27">
        <v>1</v>
      </c>
      <c r="L7" s="31">
        <v>1</v>
      </c>
      <c r="M7" s="31">
        <v>2</v>
      </c>
      <c r="N7" s="31">
        <v>3</v>
      </c>
      <c r="O7" s="28">
        <v>4</v>
      </c>
      <c r="P7" s="28">
        <v>5</v>
      </c>
    </row>
    <row r="8" spans="2:16" ht="124.5" customHeight="1" x14ac:dyDescent="0.25">
      <c r="B8" s="41" t="s">
        <v>144</v>
      </c>
      <c r="C8" s="39" t="s">
        <v>101</v>
      </c>
      <c r="D8" s="44"/>
      <c r="E8" s="44"/>
      <c r="F8" s="44"/>
      <c r="G8" s="44"/>
      <c r="H8" s="44"/>
      <c r="I8" s="25"/>
      <c r="J8" s="25"/>
      <c r="K8" s="25"/>
      <c r="L8" s="25"/>
      <c r="M8" s="25"/>
      <c r="N8" s="25"/>
      <c r="O8" s="25"/>
      <c r="P8" s="25"/>
    </row>
    <row r="9" spans="2:16" ht="124.5" customHeight="1" thickBot="1" x14ac:dyDescent="0.3">
      <c r="B9" s="38" t="s">
        <v>145</v>
      </c>
      <c r="C9" s="39" t="s">
        <v>102</v>
      </c>
      <c r="D9" s="44"/>
      <c r="E9" s="44"/>
      <c r="F9" s="44"/>
      <c r="G9" s="44"/>
      <c r="H9" s="44"/>
      <c r="I9" s="25"/>
      <c r="J9" s="32" t="s">
        <v>14</v>
      </c>
      <c r="K9" s="155" t="s">
        <v>146</v>
      </c>
      <c r="L9" s="156"/>
      <c r="M9" s="156"/>
      <c r="N9" s="156"/>
      <c r="O9" s="156"/>
      <c r="P9" s="156"/>
    </row>
    <row r="10" spans="2:16" ht="124.5" customHeight="1" thickTop="1" x14ac:dyDescent="0.35">
      <c r="B10" s="41" t="s">
        <v>147</v>
      </c>
      <c r="C10" s="39" t="s">
        <v>103</v>
      </c>
      <c r="D10" s="44"/>
      <c r="E10" s="44"/>
      <c r="F10" s="44"/>
      <c r="G10" s="44"/>
      <c r="H10" s="44"/>
      <c r="I10" s="25"/>
      <c r="J10" s="33" t="s">
        <v>148</v>
      </c>
      <c r="K10" s="157" t="s">
        <v>149</v>
      </c>
      <c r="L10" s="119"/>
      <c r="M10" s="119"/>
      <c r="N10" s="119"/>
      <c r="O10" s="119"/>
      <c r="P10" s="120"/>
    </row>
    <row r="11" spans="2:16" ht="124.5" customHeight="1" x14ac:dyDescent="0.35">
      <c r="B11" s="38" t="s">
        <v>150</v>
      </c>
      <c r="C11" s="39" t="s">
        <v>104</v>
      </c>
      <c r="D11" s="44"/>
      <c r="E11" s="44"/>
      <c r="F11" s="44"/>
      <c r="G11" s="44"/>
      <c r="H11" s="44"/>
      <c r="I11" s="25"/>
      <c r="J11" s="34" t="s">
        <v>151</v>
      </c>
      <c r="K11" s="157" t="s">
        <v>152</v>
      </c>
      <c r="L11" s="119"/>
      <c r="M11" s="119"/>
      <c r="N11" s="119"/>
      <c r="O11" s="119"/>
      <c r="P11" s="120"/>
    </row>
    <row r="12" spans="2:16" ht="124.5" customHeight="1" x14ac:dyDescent="0.35">
      <c r="B12" s="41" t="s">
        <v>153</v>
      </c>
      <c r="C12" s="39" t="s">
        <v>105</v>
      </c>
      <c r="D12" s="44"/>
      <c r="E12" s="44"/>
      <c r="F12" s="44"/>
      <c r="G12" s="44"/>
      <c r="H12" s="44"/>
      <c r="I12" s="25"/>
      <c r="J12" s="35" t="s">
        <v>154</v>
      </c>
      <c r="K12" s="157" t="s">
        <v>155</v>
      </c>
      <c r="L12" s="119"/>
      <c r="M12" s="119"/>
      <c r="N12" s="119"/>
      <c r="O12" s="119"/>
      <c r="P12" s="120"/>
    </row>
    <row r="13" spans="2:16" ht="124.5" customHeight="1" x14ac:dyDescent="0.35">
      <c r="B13" s="38" t="s">
        <v>156</v>
      </c>
      <c r="C13" s="39" t="s">
        <v>106</v>
      </c>
      <c r="D13" s="44"/>
      <c r="E13" s="44"/>
      <c r="F13" s="44"/>
      <c r="G13" s="44"/>
      <c r="H13" s="44"/>
      <c r="I13" s="25"/>
      <c r="J13" s="36" t="s">
        <v>157</v>
      </c>
      <c r="K13" s="157" t="s">
        <v>158</v>
      </c>
      <c r="L13" s="119"/>
      <c r="M13" s="119"/>
      <c r="N13" s="119"/>
      <c r="O13" s="119"/>
      <c r="P13" s="120"/>
    </row>
    <row r="14" spans="2:16" ht="124.5" customHeight="1" x14ac:dyDescent="0.25">
      <c r="B14" s="38" t="s">
        <v>159</v>
      </c>
      <c r="C14" s="39" t="s">
        <v>107</v>
      </c>
      <c r="D14" s="44"/>
      <c r="E14" s="44"/>
      <c r="F14" s="44"/>
      <c r="G14" s="44"/>
      <c r="H14" s="44"/>
      <c r="I14" s="25"/>
      <c r="J14" s="25"/>
      <c r="K14" s="25"/>
      <c r="L14" s="25"/>
      <c r="M14" s="25"/>
      <c r="N14" s="25"/>
      <c r="O14" s="25"/>
      <c r="P14" s="25"/>
    </row>
    <row r="15" spans="2:16" ht="124.5" customHeight="1" x14ac:dyDescent="0.25">
      <c r="B15" s="38" t="s">
        <v>160</v>
      </c>
      <c r="C15" s="39" t="s">
        <v>108</v>
      </c>
      <c r="D15" s="44"/>
      <c r="E15" s="44"/>
      <c r="F15" s="44"/>
      <c r="G15" s="44"/>
      <c r="H15" s="44"/>
      <c r="I15" s="25"/>
      <c r="J15" s="25"/>
      <c r="K15" s="25"/>
      <c r="L15" s="25"/>
      <c r="M15" s="25"/>
      <c r="N15" s="25"/>
      <c r="O15" s="25"/>
      <c r="P15" s="25"/>
    </row>
    <row r="16" spans="2:16" ht="124.5" customHeight="1" x14ac:dyDescent="0.25">
      <c r="B16" s="38" t="s">
        <v>161</v>
      </c>
      <c r="C16" s="39" t="s">
        <v>109</v>
      </c>
      <c r="D16" s="44"/>
      <c r="E16" s="44"/>
      <c r="F16" s="44"/>
      <c r="G16" s="44"/>
      <c r="H16" s="44"/>
      <c r="I16" s="25"/>
      <c r="J16" s="25"/>
      <c r="K16" s="25"/>
      <c r="L16" s="25"/>
      <c r="M16" s="25"/>
      <c r="N16" s="25"/>
      <c r="O16" s="25"/>
      <c r="P16" s="25"/>
    </row>
    <row r="17" spans="2:16" ht="124.5" customHeight="1" x14ac:dyDescent="0.25">
      <c r="B17" s="38" t="s">
        <v>162</v>
      </c>
      <c r="C17" s="39" t="s">
        <v>110</v>
      </c>
      <c r="D17" s="44"/>
      <c r="E17" s="44"/>
      <c r="F17" s="44"/>
      <c r="G17" s="44"/>
      <c r="H17" s="44"/>
      <c r="I17" s="25"/>
      <c r="J17" s="25"/>
      <c r="K17" s="25"/>
      <c r="L17" s="25"/>
      <c r="M17" s="25"/>
      <c r="N17" s="25"/>
      <c r="O17" s="25"/>
      <c r="P17" s="25"/>
    </row>
    <row r="18" spans="2:16" ht="124.5" customHeight="1" x14ac:dyDescent="0.25">
      <c r="B18" s="38" t="s">
        <v>163</v>
      </c>
      <c r="C18" s="39" t="s">
        <v>111</v>
      </c>
      <c r="D18" s="44"/>
      <c r="E18" s="44"/>
      <c r="F18" s="44"/>
      <c r="G18" s="44"/>
      <c r="H18" s="44"/>
      <c r="I18" s="25"/>
      <c r="J18" s="25"/>
      <c r="K18" s="25"/>
      <c r="L18" s="25"/>
      <c r="M18" s="25"/>
      <c r="N18" s="25"/>
      <c r="O18" s="25"/>
      <c r="P18" s="25"/>
    </row>
    <row r="19" spans="2:16" ht="124.5" customHeight="1" x14ac:dyDescent="0.25">
      <c r="B19" s="38" t="s">
        <v>164</v>
      </c>
      <c r="C19" s="39" t="s">
        <v>112</v>
      </c>
      <c r="D19" s="44"/>
      <c r="E19" s="44"/>
      <c r="F19" s="44"/>
      <c r="G19" s="44"/>
      <c r="H19" s="44"/>
      <c r="I19" s="25"/>
      <c r="J19" s="25"/>
      <c r="K19" s="25"/>
      <c r="L19" s="25"/>
      <c r="M19" s="25"/>
      <c r="N19" s="25"/>
      <c r="O19" s="25"/>
      <c r="P19" s="25"/>
    </row>
    <row r="20" spans="2:16" ht="124.5" customHeight="1" x14ac:dyDescent="0.25">
      <c r="B20" s="38" t="s">
        <v>165</v>
      </c>
      <c r="C20" s="39" t="s">
        <v>113</v>
      </c>
      <c r="D20" s="44"/>
      <c r="E20" s="44"/>
      <c r="F20" s="44"/>
      <c r="G20" s="44"/>
      <c r="H20" s="44"/>
      <c r="I20" s="25"/>
      <c r="J20" s="25"/>
      <c r="K20" s="25"/>
      <c r="L20" s="25"/>
      <c r="M20" s="25"/>
      <c r="N20" s="25"/>
      <c r="O20" s="25"/>
      <c r="P20" s="25"/>
    </row>
    <row r="21" spans="2:16" ht="124.5" customHeight="1" x14ac:dyDescent="0.25">
      <c r="B21" s="41" t="s">
        <v>166</v>
      </c>
      <c r="C21" s="39" t="s">
        <v>114</v>
      </c>
      <c r="D21" s="44"/>
      <c r="E21" s="44"/>
      <c r="F21" s="44"/>
      <c r="G21" s="44"/>
      <c r="H21" s="44"/>
      <c r="I21" s="25"/>
      <c r="J21" s="25"/>
      <c r="K21" s="25"/>
      <c r="L21" s="25"/>
      <c r="M21" s="25"/>
      <c r="N21" s="25"/>
      <c r="O21" s="25"/>
      <c r="P21" s="25"/>
    </row>
    <row r="22" spans="2:16" ht="124.5" customHeight="1" x14ac:dyDescent="0.25">
      <c r="B22" s="38" t="s">
        <v>167</v>
      </c>
      <c r="C22" s="39" t="s">
        <v>115</v>
      </c>
      <c r="D22" s="44"/>
      <c r="E22" s="44"/>
      <c r="F22" s="44"/>
      <c r="G22" s="44"/>
      <c r="H22" s="44"/>
      <c r="I22" s="25"/>
      <c r="J22" s="25"/>
      <c r="K22" s="25"/>
      <c r="L22" s="25"/>
      <c r="M22" s="25"/>
      <c r="N22" s="25"/>
      <c r="O22" s="25"/>
      <c r="P22" s="25"/>
    </row>
    <row r="23" spans="2:16" ht="124.5" customHeight="1" x14ac:dyDescent="0.25">
      <c r="B23" s="41" t="s">
        <v>168</v>
      </c>
      <c r="C23" s="39" t="s">
        <v>116</v>
      </c>
      <c r="D23" s="44"/>
      <c r="E23" s="44"/>
      <c r="F23" s="44"/>
      <c r="G23" s="44"/>
      <c r="H23" s="44"/>
      <c r="I23" s="25"/>
      <c r="J23" s="25"/>
      <c r="K23" s="25"/>
      <c r="L23" s="25"/>
      <c r="M23" s="25"/>
      <c r="N23" s="25"/>
      <c r="O23" s="25"/>
      <c r="P23" s="25"/>
    </row>
    <row r="24" spans="2:16" ht="124.5" customHeight="1" x14ac:dyDescent="0.25">
      <c r="B24" s="38" t="s">
        <v>169</v>
      </c>
      <c r="C24" s="39" t="s">
        <v>117</v>
      </c>
      <c r="D24" s="44"/>
      <c r="E24" s="44"/>
      <c r="F24" s="44"/>
      <c r="G24" s="44"/>
      <c r="H24" s="44"/>
      <c r="I24" s="25"/>
      <c r="J24" s="25"/>
      <c r="K24" s="25"/>
      <c r="L24" s="25"/>
      <c r="M24" s="25"/>
      <c r="N24" s="25"/>
      <c r="O24" s="25"/>
      <c r="P24" s="25"/>
    </row>
    <row r="25" spans="2:16" ht="124.5" customHeight="1" x14ac:dyDescent="0.25">
      <c r="B25" s="38" t="s">
        <v>170</v>
      </c>
      <c r="C25" s="39" t="s">
        <v>118</v>
      </c>
      <c r="D25" s="44"/>
      <c r="E25" s="44"/>
      <c r="F25" s="44"/>
      <c r="G25" s="44"/>
      <c r="H25" s="44"/>
      <c r="I25" s="25"/>
      <c r="J25" s="25"/>
      <c r="K25" s="25"/>
      <c r="L25" s="25"/>
      <c r="M25" s="25"/>
      <c r="N25" s="25"/>
      <c r="O25" s="25"/>
      <c r="P25" s="25"/>
    </row>
    <row r="26" spans="2:16" ht="80.099999999999994" customHeight="1" x14ac:dyDescent="0.25">
      <c r="B26" s="38" t="s">
        <v>171</v>
      </c>
      <c r="C26" s="39" t="s">
        <v>119</v>
      </c>
      <c r="D26" s="44"/>
      <c r="E26" s="44"/>
      <c r="F26" s="44"/>
      <c r="G26" s="44"/>
      <c r="H26" s="44"/>
      <c r="I26" s="25"/>
      <c r="J26" s="25"/>
      <c r="K26" s="25"/>
      <c r="L26" s="25"/>
      <c r="M26" s="25"/>
      <c r="N26" s="25"/>
      <c r="O26" s="25"/>
      <c r="P26" s="25"/>
    </row>
    <row r="27" spans="2:16" ht="120" customHeight="1" x14ac:dyDescent="0.25">
      <c r="B27" s="41" t="s">
        <v>172</v>
      </c>
      <c r="C27" s="39" t="s">
        <v>120</v>
      </c>
      <c r="D27" s="44"/>
      <c r="E27" s="44"/>
      <c r="F27" s="44"/>
      <c r="G27" s="44"/>
      <c r="H27" s="44"/>
      <c r="I27" s="25"/>
      <c r="J27" s="25"/>
      <c r="K27" s="25"/>
      <c r="L27" s="25"/>
      <c r="M27" s="25"/>
      <c r="N27" s="25"/>
      <c r="O27" s="25"/>
      <c r="P27" s="25"/>
    </row>
    <row r="28" spans="2:16" ht="99.95" customHeight="1" x14ac:dyDescent="0.25">
      <c r="B28" s="38" t="s">
        <v>173</v>
      </c>
      <c r="C28" s="39" t="s">
        <v>121</v>
      </c>
      <c r="D28" s="44"/>
      <c r="E28" s="44"/>
      <c r="F28" s="44"/>
      <c r="G28" s="44"/>
      <c r="H28" s="44"/>
      <c r="I28" s="25"/>
      <c r="J28" s="25"/>
      <c r="K28" s="25"/>
      <c r="L28" s="25"/>
      <c r="M28" s="25"/>
      <c r="N28" s="25"/>
      <c r="O28" s="25"/>
      <c r="P28" s="25"/>
    </row>
    <row r="29" spans="2:16" ht="120" customHeight="1" x14ac:dyDescent="0.25">
      <c r="B29" s="38" t="s">
        <v>174</v>
      </c>
      <c r="C29" s="39" t="s">
        <v>122</v>
      </c>
      <c r="D29" s="44"/>
      <c r="E29" s="44"/>
      <c r="F29" s="44"/>
      <c r="G29" s="44"/>
      <c r="H29" s="44"/>
      <c r="I29" s="25"/>
      <c r="J29" s="25"/>
      <c r="K29" s="25"/>
      <c r="L29" s="25"/>
      <c r="M29" s="25"/>
      <c r="N29" s="25"/>
      <c r="O29" s="25"/>
      <c r="P29" s="25"/>
    </row>
    <row r="30" spans="2:16" ht="60" customHeight="1" x14ac:dyDescent="0.25">
      <c r="B30" s="38" t="s">
        <v>175</v>
      </c>
      <c r="C30" s="39" t="s">
        <v>123</v>
      </c>
      <c r="D30" s="44"/>
      <c r="E30" s="44"/>
      <c r="F30" s="44"/>
      <c r="G30" s="44"/>
      <c r="H30" s="44"/>
      <c r="I30" s="25"/>
      <c r="J30" s="25"/>
      <c r="K30" s="25"/>
      <c r="L30" s="25"/>
      <c r="M30" s="25"/>
      <c r="N30" s="25"/>
      <c r="O30" s="25"/>
      <c r="P30" s="25"/>
    </row>
    <row r="31" spans="2:16" ht="60" customHeight="1" x14ac:dyDescent="0.25">
      <c r="B31" s="41" t="s">
        <v>176</v>
      </c>
      <c r="C31" s="39" t="s">
        <v>124</v>
      </c>
      <c r="D31" s="44"/>
      <c r="E31" s="44"/>
      <c r="F31" s="44"/>
      <c r="G31" s="44"/>
      <c r="H31" s="44"/>
      <c r="I31" s="25"/>
      <c r="J31" s="25"/>
      <c r="K31" s="25"/>
      <c r="L31" s="25"/>
      <c r="M31" s="25"/>
      <c r="N31" s="25"/>
      <c r="O31" s="25"/>
      <c r="P31" s="25"/>
    </row>
    <row r="32" spans="2:16" ht="60" customHeight="1" x14ac:dyDescent="0.25">
      <c r="B32" s="38" t="s">
        <v>177</v>
      </c>
      <c r="C32" s="39" t="s">
        <v>125</v>
      </c>
      <c r="D32" s="44"/>
      <c r="E32" s="44"/>
      <c r="F32" s="44"/>
      <c r="G32" s="44"/>
      <c r="H32" s="44"/>
      <c r="I32" s="25"/>
      <c r="J32" s="25"/>
      <c r="K32" s="25"/>
      <c r="L32" s="25"/>
      <c r="M32" s="25"/>
      <c r="N32" s="25"/>
      <c r="O32" s="25"/>
      <c r="P32" s="25"/>
    </row>
    <row r="33" spans="2:16" ht="20.100000000000001" customHeight="1" x14ac:dyDescent="0.25">
      <c r="B33" s="41" t="s">
        <v>178</v>
      </c>
      <c r="C33" s="39"/>
      <c r="D33" s="44"/>
      <c r="E33" s="44"/>
      <c r="F33" s="44"/>
      <c r="G33" s="44"/>
      <c r="H33" s="44"/>
      <c r="I33" s="25"/>
      <c r="J33" s="25"/>
      <c r="K33" s="25"/>
      <c r="L33" s="25"/>
      <c r="M33" s="25"/>
      <c r="N33" s="25"/>
      <c r="O33" s="25"/>
      <c r="P33" s="25"/>
    </row>
    <row r="34" spans="2:16" ht="20.100000000000001" customHeight="1" x14ac:dyDescent="0.25">
      <c r="B34" s="38" t="s">
        <v>179</v>
      </c>
      <c r="C34" s="39"/>
      <c r="D34" s="44"/>
      <c r="E34" s="44"/>
      <c r="F34" s="44"/>
      <c r="G34" s="44"/>
      <c r="H34" s="44"/>
      <c r="I34" s="25"/>
      <c r="J34" s="25"/>
      <c r="K34" s="25"/>
      <c r="L34" s="25"/>
      <c r="M34" s="25"/>
      <c r="N34" s="25"/>
      <c r="O34" s="25"/>
      <c r="P34" s="25"/>
    </row>
    <row r="35" spans="2:16" ht="20.100000000000001" customHeight="1" x14ac:dyDescent="0.25">
      <c r="B35" s="41" t="s">
        <v>180</v>
      </c>
      <c r="C35" s="39"/>
      <c r="D35" s="44"/>
      <c r="E35" s="44"/>
      <c r="F35" s="44"/>
      <c r="G35" s="44"/>
      <c r="H35" s="44"/>
      <c r="I35" s="25"/>
      <c r="J35" s="25"/>
      <c r="K35" s="25"/>
      <c r="L35" s="25"/>
      <c r="M35" s="25"/>
      <c r="N35" s="25"/>
      <c r="O35" s="25"/>
      <c r="P35" s="25"/>
    </row>
    <row r="36" spans="2:16" ht="20.100000000000001" customHeight="1" x14ac:dyDescent="0.25">
      <c r="B36" s="38" t="s">
        <v>181</v>
      </c>
      <c r="C36" s="39"/>
      <c r="D36" s="44"/>
      <c r="E36" s="44"/>
      <c r="F36" s="44"/>
      <c r="G36" s="44"/>
      <c r="H36" s="44"/>
      <c r="I36" s="25"/>
      <c r="J36" s="25"/>
      <c r="K36" s="25"/>
      <c r="L36" s="25"/>
      <c r="M36" s="25"/>
      <c r="N36" s="25"/>
      <c r="O36" s="25"/>
      <c r="P36" s="25"/>
    </row>
    <row r="37" spans="2:16" ht="20.100000000000001" customHeight="1" x14ac:dyDescent="0.25">
      <c r="B37" s="41" t="s">
        <v>182</v>
      </c>
      <c r="C37" s="39"/>
      <c r="D37" s="44"/>
      <c r="E37" s="44"/>
      <c r="F37" s="44"/>
      <c r="G37" s="44"/>
      <c r="H37" s="44"/>
      <c r="I37" s="25"/>
      <c r="J37" s="25"/>
      <c r="K37" s="25"/>
      <c r="L37" s="25"/>
      <c r="M37" s="25"/>
      <c r="N37" s="25"/>
      <c r="O37" s="25"/>
      <c r="P37" s="25"/>
    </row>
    <row r="38" spans="2:16" ht="20.100000000000001" customHeight="1" x14ac:dyDescent="0.25">
      <c r="B38" s="41" t="s">
        <v>183</v>
      </c>
      <c r="C38" s="39"/>
      <c r="D38" s="44"/>
      <c r="E38" s="44"/>
      <c r="F38" s="44"/>
      <c r="G38" s="44"/>
      <c r="H38" s="44"/>
      <c r="I38" s="25"/>
      <c r="J38" s="25"/>
      <c r="K38" s="25"/>
      <c r="L38" s="25"/>
      <c r="M38" s="25"/>
      <c r="N38" s="25"/>
      <c r="O38" s="25"/>
      <c r="P38" s="25"/>
    </row>
    <row r="39" spans="2:16" ht="20.100000000000001" customHeight="1" x14ac:dyDescent="0.25">
      <c r="B39" s="38" t="s">
        <v>184</v>
      </c>
      <c r="C39" s="39"/>
      <c r="D39" s="44"/>
      <c r="E39" s="44"/>
      <c r="F39" s="44"/>
      <c r="G39" s="44"/>
      <c r="H39" s="44"/>
      <c r="I39" s="25"/>
      <c r="J39" s="25"/>
      <c r="K39" s="25"/>
      <c r="L39" s="25"/>
      <c r="M39" s="25"/>
      <c r="N39" s="25"/>
      <c r="O39" s="25"/>
      <c r="P39" s="25"/>
    </row>
    <row r="40" spans="2:16" ht="20.100000000000001" customHeight="1" x14ac:dyDescent="0.25">
      <c r="B40" s="41" t="s">
        <v>185</v>
      </c>
      <c r="C40" s="39"/>
      <c r="D40" s="44"/>
      <c r="E40" s="44"/>
      <c r="F40" s="44"/>
      <c r="G40" s="44"/>
      <c r="H40" s="44"/>
      <c r="I40" s="25"/>
      <c r="J40" s="25"/>
      <c r="K40" s="25"/>
      <c r="L40" s="25"/>
      <c r="M40" s="25"/>
      <c r="N40" s="25"/>
      <c r="O40" s="25"/>
      <c r="P40" s="25"/>
    </row>
    <row r="41" spans="2:16" ht="20.100000000000001" customHeight="1" x14ac:dyDescent="0.25">
      <c r="B41" s="38" t="s">
        <v>186</v>
      </c>
      <c r="C41" s="39"/>
      <c r="D41" s="44"/>
      <c r="E41" s="44"/>
      <c r="F41" s="44"/>
      <c r="G41" s="44"/>
      <c r="H41" s="44"/>
      <c r="I41" s="25"/>
      <c r="J41" s="25"/>
      <c r="K41" s="25"/>
      <c r="L41" s="25"/>
      <c r="M41" s="25"/>
      <c r="N41" s="25"/>
      <c r="O41" s="25"/>
      <c r="P41" s="25"/>
    </row>
    <row r="42" spans="2:16" ht="20.100000000000001" customHeight="1" x14ac:dyDescent="0.25">
      <c r="B42" s="41" t="s">
        <v>187</v>
      </c>
      <c r="C42" s="39"/>
      <c r="D42" s="44"/>
      <c r="E42" s="44"/>
      <c r="F42" s="44"/>
      <c r="G42" s="44"/>
      <c r="H42" s="44"/>
      <c r="I42" s="25"/>
      <c r="J42" s="25"/>
      <c r="K42" s="25"/>
      <c r="L42" s="25"/>
      <c r="M42" s="25"/>
      <c r="N42" s="25"/>
      <c r="O42" s="25"/>
      <c r="P42" s="25"/>
    </row>
    <row r="43" spans="2:16" ht="20.100000000000001" customHeight="1" x14ac:dyDescent="0.25">
      <c r="B43" s="38" t="s">
        <v>188</v>
      </c>
      <c r="C43" s="39"/>
      <c r="D43" s="44"/>
      <c r="E43" s="44"/>
      <c r="F43" s="44"/>
      <c r="G43" s="44"/>
      <c r="H43" s="44"/>
      <c r="I43" s="25"/>
      <c r="J43" s="25"/>
      <c r="K43" s="25"/>
      <c r="L43" s="25"/>
      <c r="M43" s="25"/>
      <c r="N43" s="25"/>
      <c r="O43" s="25"/>
      <c r="P43" s="25"/>
    </row>
    <row r="44" spans="2:16" ht="20.100000000000001" customHeight="1" x14ac:dyDescent="0.25">
      <c r="B44" s="41" t="s">
        <v>189</v>
      </c>
      <c r="C44" s="39"/>
      <c r="D44" s="44"/>
      <c r="E44" s="44"/>
      <c r="F44" s="44"/>
      <c r="G44" s="44"/>
      <c r="H44" s="44"/>
      <c r="I44" s="25"/>
      <c r="J44" s="25"/>
      <c r="K44" s="25"/>
      <c r="L44" s="25"/>
      <c r="M44" s="25"/>
      <c r="N44" s="25"/>
      <c r="O44" s="25"/>
      <c r="P44" s="25"/>
    </row>
    <row r="45" spans="2:16" ht="20.100000000000001" customHeight="1" x14ac:dyDescent="0.25">
      <c r="B45" s="38" t="s">
        <v>190</v>
      </c>
      <c r="C45" s="39"/>
      <c r="D45" s="44"/>
      <c r="E45" s="44"/>
      <c r="F45" s="44"/>
      <c r="G45" s="44"/>
      <c r="H45" s="44"/>
      <c r="I45" s="25"/>
      <c r="J45" s="25"/>
      <c r="K45" s="25"/>
      <c r="L45" s="25"/>
      <c r="M45" s="25"/>
      <c r="N45" s="25"/>
      <c r="O45" s="25"/>
      <c r="P45" s="25"/>
    </row>
    <row r="46" spans="2:16" ht="20.100000000000001" customHeight="1" x14ac:dyDescent="0.25">
      <c r="B46" s="41" t="s">
        <v>191</v>
      </c>
      <c r="C46" s="39"/>
      <c r="D46" s="44"/>
      <c r="E46" s="44"/>
      <c r="F46" s="44"/>
      <c r="G46" s="44"/>
      <c r="H46" s="44"/>
      <c r="I46" s="25"/>
      <c r="J46" s="25"/>
      <c r="K46" s="25"/>
      <c r="L46" s="25"/>
      <c r="M46" s="25"/>
      <c r="N46" s="25"/>
      <c r="O46" s="25"/>
      <c r="P46" s="25"/>
    </row>
    <row r="47" spans="2:16" ht="20.100000000000001" customHeight="1" x14ac:dyDescent="0.25">
      <c r="B47" s="38" t="s">
        <v>192</v>
      </c>
      <c r="C47" s="39"/>
      <c r="D47" s="44"/>
      <c r="E47" s="44"/>
      <c r="F47" s="44"/>
      <c r="G47" s="44"/>
      <c r="H47" s="44"/>
      <c r="I47" s="25"/>
      <c r="J47" s="25"/>
      <c r="K47" s="25"/>
      <c r="L47" s="25"/>
      <c r="M47" s="25"/>
      <c r="N47" s="25"/>
      <c r="O47" s="25"/>
      <c r="P47" s="25"/>
    </row>
    <row r="48" spans="2:16" ht="20.100000000000001" customHeight="1" x14ac:dyDescent="0.25">
      <c r="B48" s="41" t="s">
        <v>193</v>
      </c>
      <c r="C48" s="39"/>
      <c r="D48" s="44"/>
      <c r="E48" s="44"/>
      <c r="F48" s="44"/>
      <c r="G48" s="44"/>
      <c r="H48" s="44"/>
      <c r="I48" s="25"/>
      <c r="J48" s="25"/>
      <c r="K48" s="25"/>
      <c r="L48" s="25"/>
      <c r="M48" s="25"/>
      <c r="N48" s="25"/>
      <c r="O48" s="25"/>
      <c r="P48" s="25"/>
    </row>
    <row r="49" spans="2:16" ht="20.100000000000001" customHeight="1" x14ac:dyDescent="0.25">
      <c r="B49" s="38" t="s">
        <v>194</v>
      </c>
      <c r="C49" s="39"/>
      <c r="D49" s="44"/>
      <c r="E49" s="44"/>
      <c r="F49" s="44"/>
      <c r="G49" s="44"/>
      <c r="H49" s="44"/>
      <c r="I49" s="25"/>
      <c r="J49" s="25"/>
      <c r="K49" s="25"/>
      <c r="L49" s="25"/>
      <c r="M49" s="25"/>
      <c r="N49" s="25"/>
      <c r="O49" s="25"/>
      <c r="P49" s="25"/>
    </row>
    <row r="50" spans="2:16" ht="17.45" customHeight="1" x14ac:dyDescent="0.25">
      <c r="B50" s="25"/>
      <c r="C50" s="25"/>
      <c r="D50" s="25"/>
      <c r="E50" s="25"/>
      <c r="F50" s="25"/>
      <c r="G50" s="25"/>
      <c r="H50" s="25"/>
      <c r="I50" s="25"/>
      <c r="J50" s="25"/>
      <c r="K50" s="25"/>
      <c r="L50" s="25"/>
      <c r="M50" s="25"/>
      <c r="N50" s="25"/>
      <c r="O50" s="25"/>
      <c r="P50" s="25"/>
    </row>
  </sheetData>
  <mergeCells count="7">
    <mergeCell ref="K9:P9"/>
    <mergeCell ref="K10:P10"/>
    <mergeCell ref="L1:P1"/>
    <mergeCell ref="K13:P13"/>
    <mergeCell ref="J3:J7"/>
    <mergeCell ref="K11:P11"/>
    <mergeCell ref="K12:P12"/>
  </mergeCells>
  <pageMargins left="0.7" right="0.7" top="0.75" bottom="0.75" header="0.3" footer="0.3"/>
  <pageSetup orientation="portrait" r:id="rId1"/>
  <headerFooter>
    <oddFooter>&amp;L16-HS80-8000-00019 Rev B / 16-HS20-8000-00037&amp;REL TIEMPO DE RETENCION DE ESTE REGISTRO ES DE  5 AÑOS EN EL PUNTO DE ORIGEN 
ARCHIVO MUERTO: NO APLICA DISPOSICION FINAL: DESECHAR</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I117"/>
  <sheetViews>
    <sheetView view="pageBreakPreview" zoomScale="60" zoomScaleNormal="100" workbookViewId="0">
      <pane ySplit="1" topLeftCell="A63" activePane="bottomLeft" state="frozen"/>
      <selection pane="bottomLeft" activeCell="AA94" sqref="AA94"/>
    </sheetView>
  </sheetViews>
  <sheetFormatPr defaultColWidth="8.7109375" defaultRowHeight="15" x14ac:dyDescent="0.25"/>
  <cols>
    <col min="1" max="1" width="22.42578125" style="53" bestFit="1" customWidth="1"/>
    <col min="2" max="2" width="24.140625" style="53" bestFit="1" customWidth="1"/>
    <col min="3" max="3" width="21.85546875" style="53" hidden="1" customWidth="1"/>
    <col min="4" max="4" width="12.5703125" style="53" hidden="1" customWidth="1"/>
    <col min="5" max="5" width="79.7109375" style="53" hidden="1" customWidth="1"/>
    <col min="6" max="6" width="83.140625" style="53" hidden="1" customWidth="1"/>
    <col min="7" max="9" width="8.7109375" style="53" customWidth="1"/>
    <col min="10" max="16384" width="8.7109375" style="53"/>
  </cols>
  <sheetData>
    <row r="1" spans="1:6" x14ac:dyDescent="0.25">
      <c r="A1" s="54" t="s">
        <v>195</v>
      </c>
      <c r="B1" s="54" t="s">
        <v>196</v>
      </c>
      <c r="C1" s="54" t="s">
        <v>15</v>
      </c>
      <c r="D1" s="54" t="s">
        <v>197</v>
      </c>
      <c r="E1" s="54" t="s">
        <v>198</v>
      </c>
      <c r="F1" s="54" t="s">
        <v>199</v>
      </c>
    </row>
    <row r="2" spans="1:6" x14ac:dyDescent="0.25">
      <c r="A2" s="114" t="s">
        <v>200</v>
      </c>
      <c r="B2" s="114" t="s">
        <v>201</v>
      </c>
      <c r="C2" s="114" t="s">
        <v>202</v>
      </c>
      <c r="D2" s="114">
        <v>1</v>
      </c>
      <c r="E2" s="114" t="s">
        <v>203</v>
      </c>
      <c r="F2" s="114" t="s">
        <v>204</v>
      </c>
    </row>
    <row r="3" spans="1:6" x14ac:dyDescent="0.25">
      <c r="A3" s="114" t="s">
        <v>200</v>
      </c>
      <c r="B3" s="114" t="s">
        <v>205</v>
      </c>
      <c r="C3" s="114" t="s">
        <v>206</v>
      </c>
      <c r="D3" s="114">
        <v>5</v>
      </c>
      <c r="E3" s="114" t="s">
        <v>207</v>
      </c>
      <c r="F3" s="114" t="s">
        <v>208</v>
      </c>
    </row>
    <row r="4" spans="1:6" x14ac:dyDescent="0.25">
      <c r="A4" s="114" t="s">
        <v>200</v>
      </c>
      <c r="B4" s="114" t="s">
        <v>209</v>
      </c>
      <c r="C4" s="114" t="s">
        <v>210</v>
      </c>
      <c r="D4" s="114">
        <v>4</v>
      </c>
      <c r="E4" s="114" t="s">
        <v>211</v>
      </c>
      <c r="F4" s="114" t="s">
        <v>212</v>
      </c>
    </row>
    <row r="5" spans="1:6" x14ac:dyDescent="0.25">
      <c r="A5" s="114" t="s">
        <v>200</v>
      </c>
      <c r="B5" s="114" t="s">
        <v>206</v>
      </c>
      <c r="C5" s="114" t="s">
        <v>213</v>
      </c>
      <c r="D5" s="114">
        <v>5</v>
      </c>
      <c r="E5" s="114" t="s">
        <v>214</v>
      </c>
      <c r="F5" s="114" t="s">
        <v>215</v>
      </c>
    </row>
    <row r="6" spans="1:6" x14ac:dyDescent="0.25">
      <c r="A6" s="114" t="s">
        <v>200</v>
      </c>
      <c r="B6" s="114" t="s">
        <v>216</v>
      </c>
      <c r="C6" s="114" t="s">
        <v>217</v>
      </c>
      <c r="D6" s="114">
        <v>4</v>
      </c>
      <c r="E6" s="114" t="s">
        <v>218</v>
      </c>
      <c r="F6" s="114" t="s">
        <v>215</v>
      </c>
    </row>
    <row r="7" spans="1:6" x14ac:dyDescent="0.25">
      <c r="A7" s="114" t="s">
        <v>200</v>
      </c>
      <c r="B7" s="114" t="s">
        <v>219</v>
      </c>
      <c r="C7" s="114" t="s">
        <v>220</v>
      </c>
      <c r="D7" s="114">
        <v>1</v>
      </c>
      <c r="E7" s="114" t="s">
        <v>221</v>
      </c>
      <c r="F7" s="114" t="s">
        <v>215</v>
      </c>
    </row>
    <row r="8" spans="1:6" x14ac:dyDescent="0.25">
      <c r="A8" s="114" t="s">
        <v>200</v>
      </c>
      <c r="B8" s="114" t="s">
        <v>222</v>
      </c>
      <c r="C8" s="114" t="s">
        <v>223</v>
      </c>
      <c r="D8" s="114">
        <v>3</v>
      </c>
      <c r="E8" s="114" t="s">
        <v>224</v>
      </c>
      <c r="F8" s="114" t="s">
        <v>215</v>
      </c>
    </row>
    <row r="9" spans="1:6" x14ac:dyDescent="0.25">
      <c r="A9" s="114" t="s">
        <v>200</v>
      </c>
      <c r="B9" s="114" t="s">
        <v>225</v>
      </c>
      <c r="C9" s="114" t="s">
        <v>226</v>
      </c>
      <c r="D9" s="114">
        <v>5</v>
      </c>
      <c r="E9" s="114" t="s">
        <v>227</v>
      </c>
      <c r="F9" s="114" t="s">
        <v>208</v>
      </c>
    </row>
    <row r="10" spans="1:6" x14ac:dyDescent="0.25">
      <c r="A10" s="114" t="s">
        <v>200</v>
      </c>
      <c r="B10" s="114" t="s">
        <v>228</v>
      </c>
      <c r="C10" s="114" t="s">
        <v>229</v>
      </c>
      <c r="D10" s="114">
        <v>4</v>
      </c>
      <c r="E10" s="114" t="s">
        <v>230</v>
      </c>
      <c r="F10" s="114" t="s">
        <v>215</v>
      </c>
    </row>
    <row r="11" spans="1:6" x14ac:dyDescent="0.25">
      <c r="A11" s="114" t="s">
        <v>200</v>
      </c>
      <c r="B11" s="114" t="s">
        <v>231</v>
      </c>
      <c r="C11" s="114" t="s">
        <v>232</v>
      </c>
      <c r="D11" s="114">
        <v>2</v>
      </c>
      <c r="E11" s="114" t="s">
        <v>233</v>
      </c>
      <c r="F11" s="114" t="s">
        <v>234</v>
      </c>
    </row>
    <row r="12" spans="1:6" x14ac:dyDescent="0.25">
      <c r="A12" s="114" t="s">
        <v>200</v>
      </c>
      <c r="B12" s="114" t="s">
        <v>172</v>
      </c>
      <c r="C12" s="114" t="s">
        <v>235</v>
      </c>
      <c r="D12" s="114">
        <v>3</v>
      </c>
      <c r="E12" s="114" t="s">
        <v>236</v>
      </c>
      <c r="F12" s="114" t="s">
        <v>237</v>
      </c>
    </row>
    <row r="13" spans="1:6" x14ac:dyDescent="0.25">
      <c r="A13" s="114" t="s">
        <v>200</v>
      </c>
      <c r="B13" s="114" t="s">
        <v>238</v>
      </c>
      <c r="C13" s="114" t="s">
        <v>239</v>
      </c>
      <c r="D13" s="114">
        <v>2</v>
      </c>
      <c r="E13" s="114" t="s">
        <v>240</v>
      </c>
      <c r="F13" s="114" t="s">
        <v>241</v>
      </c>
    </row>
    <row r="14" spans="1:6" x14ac:dyDescent="0.25">
      <c r="A14" s="114" t="s">
        <v>200</v>
      </c>
      <c r="B14" s="114" t="s">
        <v>242</v>
      </c>
      <c r="C14" s="114" t="s">
        <v>243</v>
      </c>
      <c r="D14" s="114">
        <v>5</v>
      </c>
      <c r="E14" s="114" t="s">
        <v>244</v>
      </c>
      <c r="F14" s="114" t="s">
        <v>245</v>
      </c>
    </row>
    <row r="15" spans="1:6" x14ac:dyDescent="0.25">
      <c r="A15" s="114" t="s">
        <v>200</v>
      </c>
      <c r="B15" s="114" t="s">
        <v>246</v>
      </c>
      <c r="C15" s="114" t="s">
        <v>247</v>
      </c>
      <c r="D15" s="114">
        <v>3</v>
      </c>
      <c r="E15" s="114" t="s">
        <v>248</v>
      </c>
      <c r="F15" s="114" t="s">
        <v>245</v>
      </c>
    </row>
    <row r="16" spans="1:6" x14ac:dyDescent="0.25">
      <c r="A16" s="114" t="s">
        <v>200</v>
      </c>
      <c r="B16" s="114" t="s">
        <v>249</v>
      </c>
      <c r="C16" s="114" t="s">
        <v>250</v>
      </c>
      <c r="D16" s="114">
        <v>5</v>
      </c>
      <c r="E16" s="114" t="s">
        <v>251</v>
      </c>
      <c r="F16" s="114" t="s">
        <v>252</v>
      </c>
    </row>
    <row r="17" spans="1:6" x14ac:dyDescent="0.25">
      <c r="A17" s="114" t="s">
        <v>200</v>
      </c>
      <c r="B17" s="114" t="s">
        <v>253</v>
      </c>
      <c r="C17" s="114" t="s">
        <v>254</v>
      </c>
      <c r="D17" s="114">
        <v>4</v>
      </c>
      <c r="E17" s="114" t="s">
        <v>255</v>
      </c>
      <c r="F17" s="114" t="s">
        <v>215</v>
      </c>
    </row>
    <row r="18" spans="1:6" x14ac:dyDescent="0.25">
      <c r="A18" s="114" t="s">
        <v>200</v>
      </c>
      <c r="B18" s="114" t="s">
        <v>256</v>
      </c>
      <c r="C18" s="114" t="s">
        <v>257</v>
      </c>
      <c r="D18" s="114">
        <v>4</v>
      </c>
      <c r="E18" s="114" t="s">
        <v>258</v>
      </c>
      <c r="F18" s="114" t="s">
        <v>215</v>
      </c>
    </row>
    <row r="19" spans="1:6" x14ac:dyDescent="0.25">
      <c r="A19" s="114" t="s">
        <v>200</v>
      </c>
      <c r="B19" s="114" t="s">
        <v>259</v>
      </c>
      <c r="C19" s="114" t="s">
        <v>217</v>
      </c>
      <c r="D19" s="114">
        <v>4</v>
      </c>
      <c r="E19" s="114" t="s">
        <v>260</v>
      </c>
      <c r="F19" s="114" t="s">
        <v>215</v>
      </c>
    </row>
    <row r="20" spans="1:6" x14ac:dyDescent="0.25">
      <c r="A20" s="114" t="s">
        <v>261</v>
      </c>
      <c r="B20" s="114" t="s">
        <v>262</v>
      </c>
      <c r="C20" s="114" t="s">
        <v>263</v>
      </c>
      <c r="D20" s="114">
        <v>5</v>
      </c>
      <c r="E20" s="114" t="s">
        <v>264</v>
      </c>
      <c r="F20" s="114" t="s">
        <v>212</v>
      </c>
    </row>
    <row r="21" spans="1:6" x14ac:dyDescent="0.25">
      <c r="A21" s="114" t="s">
        <v>261</v>
      </c>
      <c r="B21" s="114" t="s">
        <v>265</v>
      </c>
      <c r="C21" s="114" t="s">
        <v>266</v>
      </c>
      <c r="D21" s="114">
        <v>2</v>
      </c>
      <c r="E21" s="114" t="s">
        <v>267</v>
      </c>
      <c r="F21" s="114" t="s">
        <v>215</v>
      </c>
    </row>
    <row r="22" spans="1:6" x14ac:dyDescent="0.25">
      <c r="A22" s="114" t="s">
        <v>261</v>
      </c>
      <c r="B22" s="114" t="s">
        <v>268</v>
      </c>
      <c r="C22" s="114" t="s">
        <v>269</v>
      </c>
      <c r="D22" s="114">
        <v>2</v>
      </c>
      <c r="E22" s="114" t="s">
        <v>270</v>
      </c>
      <c r="F22" s="114" t="s">
        <v>215</v>
      </c>
    </row>
    <row r="23" spans="1:6" x14ac:dyDescent="0.25">
      <c r="A23" s="114" t="s">
        <v>261</v>
      </c>
      <c r="B23" s="114" t="s">
        <v>271</v>
      </c>
      <c r="C23" s="114" t="s">
        <v>272</v>
      </c>
      <c r="D23" s="114">
        <v>1</v>
      </c>
      <c r="E23" s="114" t="s">
        <v>273</v>
      </c>
      <c r="F23" s="114" t="s">
        <v>208</v>
      </c>
    </row>
    <row r="24" spans="1:6" x14ac:dyDescent="0.25">
      <c r="A24" s="114" t="s">
        <v>261</v>
      </c>
      <c r="B24" s="114" t="s">
        <v>274</v>
      </c>
      <c r="C24" s="114" t="s">
        <v>275</v>
      </c>
      <c r="D24" s="114">
        <v>5</v>
      </c>
      <c r="E24" s="114" t="s">
        <v>276</v>
      </c>
      <c r="F24" s="114" t="s">
        <v>277</v>
      </c>
    </row>
    <row r="25" spans="1:6" x14ac:dyDescent="0.25">
      <c r="A25" s="114" t="s">
        <v>261</v>
      </c>
      <c r="B25" s="114" t="s">
        <v>278</v>
      </c>
      <c r="C25" s="114" t="s">
        <v>279</v>
      </c>
      <c r="D25" s="114">
        <v>5</v>
      </c>
      <c r="E25" s="114" t="s">
        <v>280</v>
      </c>
      <c r="F25" s="114" t="s">
        <v>212</v>
      </c>
    </row>
    <row r="26" spans="1:6" x14ac:dyDescent="0.25">
      <c r="A26" s="114" t="s">
        <v>261</v>
      </c>
      <c r="B26" s="114" t="s">
        <v>281</v>
      </c>
      <c r="C26" s="114" t="s">
        <v>206</v>
      </c>
      <c r="D26" s="114">
        <v>5</v>
      </c>
      <c r="E26" s="114" t="s">
        <v>282</v>
      </c>
      <c r="F26" s="114" t="s">
        <v>208</v>
      </c>
    </row>
    <row r="27" spans="1:6" x14ac:dyDescent="0.25">
      <c r="A27" s="114" t="s">
        <v>261</v>
      </c>
      <c r="B27" s="114" t="s">
        <v>283</v>
      </c>
      <c r="C27" s="114" t="s">
        <v>284</v>
      </c>
      <c r="D27" s="114">
        <v>5</v>
      </c>
      <c r="E27" s="114" t="s">
        <v>285</v>
      </c>
      <c r="F27" s="114" t="s">
        <v>286</v>
      </c>
    </row>
    <row r="28" spans="1:6" x14ac:dyDescent="0.25">
      <c r="A28" s="114" t="s">
        <v>261</v>
      </c>
      <c r="B28" s="114" t="s">
        <v>287</v>
      </c>
      <c r="C28" s="114" t="s">
        <v>288</v>
      </c>
      <c r="D28" s="114">
        <v>4</v>
      </c>
      <c r="E28" s="114" t="s">
        <v>289</v>
      </c>
      <c r="F28" s="114" t="s">
        <v>286</v>
      </c>
    </row>
    <row r="29" spans="1:6" x14ac:dyDescent="0.25">
      <c r="A29" s="114" t="s">
        <v>261</v>
      </c>
      <c r="B29" s="114" t="s">
        <v>290</v>
      </c>
      <c r="C29" s="114" t="s">
        <v>291</v>
      </c>
      <c r="D29" s="114">
        <v>2</v>
      </c>
      <c r="E29" s="114" t="s">
        <v>292</v>
      </c>
      <c r="F29" s="114" t="s">
        <v>215</v>
      </c>
    </row>
    <row r="30" spans="1:6" x14ac:dyDescent="0.25">
      <c r="A30" s="114" t="s">
        <v>261</v>
      </c>
      <c r="B30" s="114" t="s">
        <v>293</v>
      </c>
      <c r="C30" s="114" t="s">
        <v>247</v>
      </c>
      <c r="D30" s="114">
        <v>2</v>
      </c>
      <c r="E30" s="114" t="s">
        <v>294</v>
      </c>
      <c r="F30" s="114" t="s">
        <v>215</v>
      </c>
    </row>
    <row r="31" spans="1:6" x14ac:dyDescent="0.25">
      <c r="A31" s="114" t="s">
        <v>261</v>
      </c>
      <c r="B31" s="114" t="s">
        <v>295</v>
      </c>
      <c r="C31" s="114" t="s">
        <v>296</v>
      </c>
      <c r="D31" s="114">
        <v>2</v>
      </c>
      <c r="E31" s="114" t="s">
        <v>297</v>
      </c>
      <c r="F31" s="114" t="s">
        <v>212</v>
      </c>
    </row>
    <row r="32" spans="1:6" x14ac:dyDescent="0.25">
      <c r="A32" s="114" t="s">
        <v>261</v>
      </c>
      <c r="B32" s="114" t="s">
        <v>298</v>
      </c>
      <c r="C32" s="114" t="s">
        <v>299</v>
      </c>
      <c r="D32" s="114">
        <v>4</v>
      </c>
      <c r="E32" s="114" t="s">
        <v>300</v>
      </c>
      <c r="F32" s="114" t="s">
        <v>208</v>
      </c>
    </row>
    <row r="33" spans="1:6" x14ac:dyDescent="0.25">
      <c r="A33" s="114" t="s">
        <v>261</v>
      </c>
      <c r="B33" s="114" t="s">
        <v>301</v>
      </c>
      <c r="C33" s="114" t="s">
        <v>302</v>
      </c>
      <c r="D33" s="114">
        <v>4</v>
      </c>
      <c r="E33" s="114" t="s">
        <v>303</v>
      </c>
      <c r="F33" s="114" t="s">
        <v>304</v>
      </c>
    </row>
    <row r="34" spans="1:6" x14ac:dyDescent="0.25">
      <c r="A34" s="114" t="s">
        <v>261</v>
      </c>
      <c r="B34" s="114" t="s">
        <v>305</v>
      </c>
      <c r="C34" s="114" t="s">
        <v>306</v>
      </c>
      <c r="D34" s="114">
        <v>5</v>
      </c>
      <c r="E34" s="114" t="s">
        <v>307</v>
      </c>
      <c r="F34" s="114" t="s">
        <v>215</v>
      </c>
    </row>
    <row r="35" spans="1:6" x14ac:dyDescent="0.25">
      <c r="A35" s="114" t="s">
        <v>261</v>
      </c>
      <c r="B35" s="114" t="s">
        <v>308</v>
      </c>
      <c r="C35" s="114" t="s">
        <v>166</v>
      </c>
      <c r="D35" s="114">
        <v>5</v>
      </c>
      <c r="E35" s="114" t="s">
        <v>309</v>
      </c>
      <c r="F35" s="114" t="s">
        <v>310</v>
      </c>
    </row>
    <row r="36" spans="1:6" x14ac:dyDescent="0.25">
      <c r="A36" s="114" t="s">
        <v>261</v>
      </c>
      <c r="B36" s="114" t="s">
        <v>311</v>
      </c>
      <c r="C36" s="114" t="s">
        <v>210</v>
      </c>
      <c r="D36" s="114">
        <v>3</v>
      </c>
      <c r="E36" s="114" t="s">
        <v>312</v>
      </c>
      <c r="F36" s="114" t="s">
        <v>215</v>
      </c>
    </row>
    <row r="37" spans="1:6" x14ac:dyDescent="0.25">
      <c r="A37" s="114" t="s">
        <v>261</v>
      </c>
      <c r="B37" s="114" t="s">
        <v>313</v>
      </c>
      <c r="C37" s="114" t="s">
        <v>314</v>
      </c>
      <c r="D37" s="114">
        <v>4</v>
      </c>
      <c r="E37" s="114" t="s">
        <v>315</v>
      </c>
      <c r="F37" s="114" t="s">
        <v>208</v>
      </c>
    </row>
    <row r="38" spans="1:6" x14ac:dyDescent="0.25">
      <c r="A38" s="114" t="s">
        <v>261</v>
      </c>
      <c r="B38" s="114" t="s">
        <v>316</v>
      </c>
      <c r="C38" s="114" t="s">
        <v>317</v>
      </c>
      <c r="D38" s="114">
        <v>4</v>
      </c>
      <c r="E38" s="114" t="s">
        <v>318</v>
      </c>
      <c r="F38" s="114" t="s">
        <v>215</v>
      </c>
    </row>
    <row r="39" spans="1:6" x14ac:dyDescent="0.25">
      <c r="A39" s="114" t="s">
        <v>261</v>
      </c>
      <c r="B39" s="114" t="s">
        <v>319</v>
      </c>
      <c r="C39" s="114" t="s">
        <v>320</v>
      </c>
      <c r="D39" s="114">
        <v>3</v>
      </c>
      <c r="E39" s="114" t="s">
        <v>321</v>
      </c>
      <c r="F39" s="114" t="s">
        <v>215</v>
      </c>
    </row>
    <row r="40" spans="1:6" x14ac:dyDescent="0.25">
      <c r="A40" s="114" t="s">
        <v>261</v>
      </c>
      <c r="B40" s="114" t="s">
        <v>322</v>
      </c>
      <c r="C40" s="114" t="s">
        <v>323</v>
      </c>
      <c r="D40" s="114">
        <v>4</v>
      </c>
      <c r="E40" s="114" t="s">
        <v>324</v>
      </c>
      <c r="F40" s="114" t="s">
        <v>325</v>
      </c>
    </row>
    <row r="41" spans="1:6" x14ac:dyDescent="0.25">
      <c r="A41" s="114" t="s">
        <v>261</v>
      </c>
      <c r="B41" s="114" t="s">
        <v>326</v>
      </c>
      <c r="C41" s="114" t="s">
        <v>327</v>
      </c>
      <c r="D41" s="114">
        <v>4</v>
      </c>
      <c r="E41" s="114" t="s">
        <v>328</v>
      </c>
      <c r="F41" s="114" t="s">
        <v>215</v>
      </c>
    </row>
    <row r="42" spans="1:6" x14ac:dyDescent="0.25">
      <c r="A42" s="114" t="s">
        <v>261</v>
      </c>
      <c r="B42" s="114" t="s">
        <v>329</v>
      </c>
      <c r="C42" s="114" t="s">
        <v>330</v>
      </c>
      <c r="D42" s="114">
        <v>5</v>
      </c>
      <c r="E42" s="114" t="s">
        <v>331</v>
      </c>
      <c r="F42" s="114" t="s">
        <v>252</v>
      </c>
    </row>
    <row r="43" spans="1:6" x14ac:dyDescent="0.25">
      <c r="A43" s="114" t="s">
        <v>261</v>
      </c>
      <c r="B43" s="114" t="s">
        <v>332</v>
      </c>
      <c r="C43" s="114" t="s">
        <v>333</v>
      </c>
      <c r="D43" s="114">
        <v>1</v>
      </c>
      <c r="E43" s="114" t="s">
        <v>334</v>
      </c>
      <c r="F43" s="114" t="s">
        <v>335</v>
      </c>
    </row>
    <row r="44" spans="1:6" x14ac:dyDescent="0.25">
      <c r="A44" s="114" t="s">
        <v>261</v>
      </c>
      <c r="B44" s="114" t="s">
        <v>336</v>
      </c>
      <c r="C44" s="114" t="s">
        <v>337</v>
      </c>
      <c r="D44" s="114">
        <v>5</v>
      </c>
      <c r="E44" s="114" t="s">
        <v>338</v>
      </c>
      <c r="F44" s="114" t="s">
        <v>215</v>
      </c>
    </row>
    <row r="45" spans="1:6" x14ac:dyDescent="0.25">
      <c r="A45" s="114" t="s">
        <v>261</v>
      </c>
      <c r="B45" s="114" t="s">
        <v>339</v>
      </c>
      <c r="C45" s="114" t="s">
        <v>340</v>
      </c>
      <c r="D45" s="114">
        <v>5</v>
      </c>
      <c r="E45" s="114" t="s">
        <v>341</v>
      </c>
      <c r="F45" s="114" t="s">
        <v>234</v>
      </c>
    </row>
    <row r="46" spans="1:6" x14ac:dyDescent="0.25">
      <c r="A46" s="114" t="s">
        <v>342</v>
      </c>
      <c r="B46" s="114" t="s">
        <v>343</v>
      </c>
      <c r="C46" s="114" t="s">
        <v>202</v>
      </c>
      <c r="D46" s="114">
        <v>1</v>
      </c>
      <c r="E46" s="114" t="s">
        <v>344</v>
      </c>
      <c r="F46" s="114" t="s">
        <v>204</v>
      </c>
    </row>
    <row r="47" spans="1:6" x14ac:dyDescent="0.25">
      <c r="A47" s="114" t="s">
        <v>342</v>
      </c>
      <c r="B47" s="114" t="s">
        <v>345</v>
      </c>
      <c r="C47" s="114" t="s">
        <v>272</v>
      </c>
      <c r="D47" s="114">
        <v>2</v>
      </c>
      <c r="E47" s="114" t="s">
        <v>346</v>
      </c>
      <c r="F47" s="114" t="s">
        <v>208</v>
      </c>
    </row>
    <row r="48" spans="1:6" x14ac:dyDescent="0.25">
      <c r="A48" s="114" t="s">
        <v>342</v>
      </c>
      <c r="B48" s="114" t="s">
        <v>347</v>
      </c>
      <c r="C48" s="114" t="s">
        <v>348</v>
      </c>
      <c r="D48" s="114">
        <v>3</v>
      </c>
      <c r="E48" s="114" t="s">
        <v>349</v>
      </c>
      <c r="F48" s="114" t="s">
        <v>215</v>
      </c>
    </row>
    <row r="49" spans="1:6" x14ac:dyDescent="0.25">
      <c r="A49" s="114" t="s">
        <v>342</v>
      </c>
      <c r="B49" s="114" t="s">
        <v>350</v>
      </c>
      <c r="C49" s="114" t="s">
        <v>351</v>
      </c>
      <c r="D49" s="114">
        <v>2</v>
      </c>
      <c r="E49" s="114" t="s">
        <v>352</v>
      </c>
      <c r="F49" s="114" t="s">
        <v>241</v>
      </c>
    </row>
    <row r="50" spans="1:6" x14ac:dyDescent="0.25">
      <c r="A50" s="114" t="s">
        <v>342</v>
      </c>
      <c r="B50" s="114" t="s">
        <v>353</v>
      </c>
      <c r="C50" s="114" t="s">
        <v>354</v>
      </c>
      <c r="D50" s="114">
        <v>3</v>
      </c>
      <c r="E50" s="114" t="s">
        <v>355</v>
      </c>
      <c r="F50" s="114" t="s">
        <v>237</v>
      </c>
    </row>
    <row r="51" spans="1:6" x14ac:dyDescent="0.25">
      <c r="A51" s="114" t="s">
        <v>356</v>
      </c>
      <c r="B51" s="114" t="s">
        <v>357</v>
      </c>
      <c r="C51" s="114" t="s">
        <v>358</v>
      </c>
      <c r="D51" s="114">
        <v>5</v>
      </c>
      <c r="E51" s="114" t="s">
        <v>359</v>
      </c>
      <c r="F51" s="114" t="s">
        <v>310</v>
      </c>
    </row>
    <row r="52" spans="1:6" x14ac:dyDescent="0.25">
      <c r="A52" s="114" t="s">
        <v>356</v>
      </c>
      <c r="B52" s="114" t="s">
        <v>360</v>
      </c>
      <c r="C52" s="114" t="s">
        <v>306</v>
      </c>
      <c r="D52" s="114">
        <v>5</v>
      </c>
      <c r="E52" s="114" t="s">
        <v>361</v>
      </c>
      <c r="F52" s="114" t="s">
        <v>310</v>
      </c>
    </row>
    <row r="53" spans="1:6" x14ac:dyDescent="0.25">
      <c r="A53" s="114" t="s">
        <v>356</v>
      </c>
      <c r="B53" s="114" t="s">
        <v>167</v>
      </c>
      <c r="C53" s="114" t="s">
        <v>340</v>
      </c>
      <c r="D53" s="114">
        <v>5</v>
      </c>
      <c r="E53" s="114" t="s">
        <v>362</v>
      </c>
      <c r="F53" s="114" t="s">
        <v>310</v>
      </c>
    </row>
    <row r="54" spans="1:6" x14ac:dyDescent="0.25">
      <c r="A54" s="114" t="s">
        <v>356</v>
      </c>
      <c r="B54" s="114" t="s">
        <v>363</v>
      </c>
      <c r="C54" s="114" t="s">
        <v>250</v>
      </c>
      <c r="D54" s="114">
        <v>3</v>
      </c>
      <c r="E54" s="114" t="s">
        <v>364</v>
      </c>
      <c r="F54" s="114" t="s">
        <v>365</v>
      </c>
    </row>
    <row r="55" spans="1:6" x14ac:dyDescent="0.25">
      <c r="A55" s="114" t="s">
        <v>366</v>
      </c>
      <c r="B55" s="114" t="s">
        <v>367</v>
      </c>
      <c r="C55" s="114" t="s">
        <v>368</v>
      </c>
      <c r="D55" s="114">
        <v>2</v>
      </c>
      <c r="E55" s="114" t="s">
        <v>369</v>
      </c>
      <c r="F55" s="114" t="s">
        <v>215</v>
      </c>
    </row>
    <row r="56" spans="1:6" x14ac:dyDescent="0.25">
      <c r="A56" s="114" t="s">
        <v>366</v>
      </c>
      <c r="B56" s="114" t="s">
        <v>370</v>
      </c>
      <c r="C56" s="114" t="s">
        <v>320</v>
      </c>
      <c r="D56" s="114">
        <v>3</v>
      </c>
      <c r="E56" s="114" t="s">
        <v>371</v>
      </c>
      <c r="F56" s="114" t="s">
        <v>215</v>
      </c>
    </row>
    <row r="57" spans="1:6" x14ac:dyDescent="0.25">
      <c r="A57" s="114" t="s">
        <v>366</v>
      </c>
      <c r="B57" s="114" t="s">
        <v>372</v>
      </c>
      <c r="C57" s="114" t="s">
        <v>373</v>
      </c>
      <c r="D57" s="114">
        <v>3</v>
      </c>
      <c r="E57" s="114" t="s">
        <v>374</v>
      </c>
      <c r="F57" s="114" t="s">
        <v>215</v>
      </c>
    </row>
    <row r="58" spans="1:6" x14ac:dyDescent="0.25">
      <c r="A58" s="114" t="s">
        <v>366</v>
      </c>
      <c r="B58" s="114" t="s">
        <v>375</v>
      </c>
      <c r="C58" s="114" t="s">
        <v>376</v>
      </c>
      <c r="D58" s="114">
        <v>4</v>
      </c>
      <c r="E58" s="114" t="s">
        <v>377</v>
      </c>
      <c r="F58" s="114" t="s">
        <v>215</v>
      </c>
    </row>
    <row r="59" spans="1:6" x14ac:dyDescent="0.25">
      <c r="A59" s="114" t="s">
        <v>366</v>
      </c>
      <c r="B59" s="114" t="s">
        <v>378</v>
      </c>
      <c r="C59" s="114" t="s">
        <v>379</v>
      </c>
      <c r="D59" s="114">
        <v>3</v>
      </c>
      <c r="E59" s="114" t="s">
        <v>380</v>
      </c>
      <c r="F59" s="114" t="s">
        <v>215</v>
      </c>
    </row>
    <row r="60" spans="1:6" x14ac:dyDescent="0.25">
      <c r="A60" s="114" t="s">
        <v>381</v>
      </c>
      <c r="B60" s="114" t="s">
        <v>382</v>
      </c>
      <c r="C60" s="114" t="s">
        <v>383</v>
      </c>
      <c r="D60" s="114">
        <v>3</v>
      </c>
      <c r="E60" s="114" t="s">
        <v>384</v>
      </c>
      <c r="F60" s="114" t="s">
        <v>215</v>
      </c>
    </row>
    <row r="61" spans="1:6" x14ac:dyDescent="0.25">
      <c r="A61" s="114" t="s">
        <v>381</v>
      </c>
      <c r="B61" s="114" t="s">
        <v>385</v>
      </c>
      <c r="C61" s="114" t="s">
        <v>386</v>
      </c>
      <c r="D61" s="114">
        <v>4</v>
      </c>
      <c r="E61" s="114" t="s">
        <v>387</v>
      </c>
      <c r="F61" s="114" t="s">
        <v>215</v>
      </c>
    </row>
    <row r="62" spans="1:6" x14ac:dyDescent="0.25">
      <c r="A62" s="114" t="s">
        <v>381</v>
      </c>
      <c r="B62" s="114" t="s">
        <v>388</v>
      </c>
      <c r="C62" s="114" t="s">
        <v>389</v>
      </c>
      <c r="D62" s="114">
        <v>3</v>
      </c>
      <c r="E62" s="114" t="s">
        <v>390</v>
      </c>
      <c r="F62" s="114" t="s">
        <v>215</v>
      </c>
    </row>
    <row r="63" spans="1:6" x14ac:dyDescent="0.25">
      <c r="A63" s="114" t="s">
        <v>381</v>
      </c>
      <c r="B63" s="114" t="s">
        <v>391</v>
      </c>
      <c r="C63" s="114" t="s">
        <v>392</v>
      </c>
      <c r="D63" s="114">
        <v>2</v>
      </c>
      <c r="E63" s="114" t="s">
        <v>393</v>
      </c>
      <c r="F63" s="114" t="s">
        <v>215</v>
      </c>
    </row>
    <row r="64" spans="1:6" x14ac:dyDescent="0.25">
      <c r="A64" s="114" t="s">
        <v>381</v>
      </c>
      <c r="B64" s="114" t="s">
        <v>394</v>
      </c>
      <c r="C64" s="114" t="s">
        <v>395</v>
      </c>
      <c r="D64" s="114">
        <v>4</v>
      </c>
      <c r="E64" s="114" t="s">
        <v>396</v>
      </c>
      <c r="F64" s="114" t="s">
        <v>215</v>
      </c>
    </row>
    <row r="65" spans="1:6" x14ac:dyDescent="0.25">
      <c r="A65" s="114" t="s">
        <v>397</v>
      </c>
      <c r="B65" s="114" t="s">
        <v>398</v>
      </c>
      <c r="C65" s="114" t="s">
        <v>399</v>
      </c>
      <c r="D65" s="114">
        <v>3</v>
      </c>
      <c r="E65" s="114" t="s">
        <v>400</v>
      </c>
      <c r="F65" s="114" t="s">
        <v>215</v>
      </c>
    </row>
    <row r="66" spans="1:6" x14ac:dyDescent="0.25">
      <c r="A66" s="114" t="s">
        <v>397</v>
      </c>
      <c r="B66" s="114" t="s">
        <v>401</v>
      </c>
      <c r="C66" s="114" t="s">
        <v>402</v>
      </c>
      <c r="D66" s="114">
        <v>2</v>
      </c>
      <c r="E66" s="114" t="s">
        <v>403</v>
      </c>
      <c r="F66" s="114" t="s">
        <v>215</v>
      </c>
    </row>
    <row r="67" spans="1:6" x14ac:dyDescent="0.25">
      <c r="A67" s="114" t="s">
        <v>397</v>
      </c>
      <c r="B67" s="114" t="s">
        <v>404</v>
      </c>
      <c r="C67" s="114" t="s">
        <v>405</v>
      </c>
      <c r="D67" s="114">
        <v>3</v>
      </c>
      <c r="E67" s="114" t="s">
        <v>406</v>
      </c>
      <c r="F67" s="114" t="s">
        <v>215</v>
      </c>
    </row>
    <row r="68" spans="1:6" x14ac:dyDescent="0.25">
      <c r="A68" s="114" t="s">
        <v>397</v>
      </c>
      <c r="B68" s="114" t="s">
        <v>407</v>
      </c>
      <c r="C68" s="114" t="s">
        <v>408</v>
      </c>
      <c r="D68" s="114">
        <v>2</v>
      </c>
      <c r="E68" s="114" t="s">
        <v>409</v>
      </c>
      <c r="F68" s="114" t="s">
        <v>215</v>
      </c>
    </row>
    <row r="69" spans="1:6" x14ac:dyDescent="0.25">
      <c r="A69" s="114" t="s">
        <v>397</v>
      </c>
      <c r="B69" s="114" t="s">
        <v>410</v>
      </c>
      <c r="C69" s="114" t="s">
        <v>411</v>
      </c>
      <c r="D69" s="114">
        <v>2</v>
      </c>
      <c r="E69" s="114" t="s">
        <v>412</v>
      </c>
      <c r="F69" s="114" t="s">
        <v>215</v>
      </c>
    </row>
    <row r="70" spans="1:6" x14ac:dyDescent="0.25">
      <c r="A70" s="114" t="s">
        <v>397</v>
      </c>
      <c r="B70" s="114" t="s">
        <v>413</v>
      </c>
      <c r="C70" s="114" t="s">
        <v>414</v>
      </c>
      <c r="D70" s="114">
        <v>2</v>
      </c>
      <c r="E70" s="114" t="s">
        <v>415</v>
      </c>
      <c r="F70" s="114" t="s">
        <v>215</v>
      </c>
    </row>
    <row r="71" spans="1:6" x14ac:dyDescent="0.25">
      <c r="A71" s="114" t="s">
        <v>397</v>
      </c>
      <c r="B71" s="114" t="s">
        <v>416</v>
      </c>
      <c r="C71" s="114" t="s">
        <v>266</v>
      </c>
      <c r="D71" s="114">
        <v>2</v>
      </c>
      <c r="E71" s="114" t="s">
        <v>417</v>
      </c>
      <c r="F71" s="114" t="s">
        <v>215</v>
      </c>
    </row>
    <row r="72" spans="1:6" x14ac:dyDescent="0.25">
      <c r="A72" s="114" t="s">
        <v>397</v>
      </c>
      <c r="B72" s="114" t="s">
        <v>418</v>
      </c>
      <c r="C72" s="114" t="s">
        <v>419</v>
      </c>
      <c r="D72" s="114">
        <v>2</v>
      </c>
      <c r="E72" s="114" t="s">
        <v>420</v>
      </c>
      <c r="F72" s="114" t="s">
        <v>215</v>
      </c>
    </row>
    <row r="73" spans="1:6" x14ac:dyDescent="0.25">
      <c r="A73" s="114" t="s">
        <v>397</v>
      </c>
      <c r="B73" s="114" t="s">
        <v>421</v>
      </c>
      <c r="C73" s="114" t="s">
        <v>372</v>
      </c>
      <c r="D73" s="114">
        <v>2</v>
      </c>
      <c r="E73" s="114" t="s">
        <v>406</v>
      </c>
      <c r="F73" s="114" t="s">
        <v>215</v>
      </c>
    </row>
    <row r="74" spans="1:6" x14ac:dyDescent="0.25">
      <c r="A74" s="114" t="s">
        <v>397</v>
      </c>
      <c r="B74" s="114" t="s">
        <v>422</v>
      </c>
      <c r="C74" s="114" t="s">
        <v>423</v>
      </c>
      <c r="D74" s="114">
        <v>4</v>
      </c>
      <c r="E74" s="114" t="s">
        <v>424</v>
      </c>
      <c r="F74" s="114" t="s">
        <v>325</v>
      </c>
    </row>
    <row r="75" spans="1:6" x14ac:dyDescent="0.25">
      <c r="A75" s="114" t="s">
        <v>425</v>
      </c>
      <c r="B75" s="114" t="s">
        <v>426</v>
      </c>
      <c r="C75" s="114" t="s">
        <v>284</v>
      </c>
      <c r="D75" s="114">
        <v>5</v>
      </c>
      <c r="E75" s="114" t="s">
        <v>427</v>
      </c>
      <c r="F75" s="114" t="s">
        <v>286</v>
      </c>
    </row>
    <row r="76" spans="1:6" x14ac:dyDescent="0.25">
      <c r="A76" s="114" t="s">
        <v>425</v>
      </c>
      <c r="B76" s="114" t="s">
        <v>428</v>
      </c>
      <c r="C76" s="114" t="s">
        <v>429</v>
      </c>
      <c r="D76" s="114">
        <v>4</v>
      </c>
      <c r="E76" s="114" t="s">
        <v>430</v>
      </c>
      <c r="F76" s="114" t="s">
        <v>234</v>
      </c>
    </row>
    <row r="77" spans="1:6" x14ac:dyDescent="0.25">
      <c r="A77" s="114" t="s">
        <v>425</v>
      </c>
      <c r="B77" s="114" t="s">
        <v>431</v>
      </c>
      <c r="C77" s="114" t="s">
        <v>432</v>
      </c>
      <c r="D77" s="114">
        <v>4</v>
      </c>
      <c r="E77" s="114" t="s">
        <v>433</v>
      </c>
      <c r="F77" s="114" t="s">
        <v>286</v>
      </c>
    </row>
    <row r="78" spans="1:6" x14ac:dyDescent="0.25">
      <c r="A78" s="114" t="s">
        <v>425</v>
      </c>
      <c r="B78" s="114" t="s">
        <v>434</v>
      </c>
      <c r="C78" s="114" t="s">
        <v>340</v>
      </c>
      <c r="D78" s="114">
        <v>4</v>
      </c>
      <c r="E78" s="114" t="s">
        <v>435</v>
      </c>
      <c r="F78" s="114" t="s">
        <v>234</v>
      </c>
    </row>
    <row r="79" spans="1:6" x14ac:dyDescent="0.25">
      <c r="A79" s="114" t="s">
        <v>425</v>
      </c>
      <c r="B79" s="114" t="s">
        <v>436</v>
      </c>
      <c r="C79" s="114" t="s">
        <v>250</v>
      </c>
      <c r="D79" s="114">
        <v>5</v>
      </c>
      <c r="E79" s="114" t="s">
        <v>437</v>
      </c>
      <c r="F79" s="114" t="s">
        <v>215</v>
      </c>
    </row>
    <row r="80" spans="1:6" x14ac:dyDescent="0.25">
      <c r="A80" s="114" t="s">
        <v>425</v>
      </c>
      <c r="B80" s="114" t="s">
        <v>438</v>
      </c>
      <c r="C80" s="114" t="s">
        <v>337</v>
      </c>
      <c r="D80" s="114">
        <v>5</v>
      </c>
      <c r="E80" s="114" t="s">
        <v>439</v>
      </c>
      <c r="F80" s="114" t="s">
        <v>252</v>
      </c>
    </row>
    <row r="81" spans="1:35" x14ac:dyDescent="0.25">
      <c r="A81" s="114" t="s">
        <v>425</v>
      </c>
      <c r="B81" s="114" t="s">
        <v>440</v>
      </c>
      <c r="C81" s="114" t="s">
        <v>441</v>
      </c>
      <c r="D81" s="114">
        <v>2</v>
      </c>
      <c r="E81" s="114" t="s">
        <v>442</v>
      </c>
      <c r="F81" s="114" t="s">
        <v>215</v>
      </c>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row>
    <row r="82" spans="1:35" x14ac:dyDescent="0.25">
      <c r="A82" s="114" t="s">
        <v>425</v>
      </c>
      <c r="B82" s="114" t="s">
        <v>443</v>
      </c>
      <c r="C82" s="114" t="s">
        <v>284</v>
      </c>
      <c r="D82" s="114">
        <v>4</v>
      </c>
      <c r="E82" s="114" t="s">
        <v>444</v>
      </c>
      <c r="F82" s="114" t="s">
        <v>286</v>
      </c>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row>
    <row r="83" spans="1:35" x14ac:dyDescent="0.25">
      <c r="A83" s="114" t="s">
        <v>425</v>
      </c>
      <c r="B83" s="114" t="s">
        <v>445</v>
      </c>
      <c r="C83" s="114" t="s">
        <v>306</v>
      </c>
      <c r="D83" s="114">
        <v>5</v>
      </c>
      <c r="E83" s="114" t="s">
        <v>446</v>
      </c>
      <c r="F83" s="114" t="s">
        <v>215</v>
      </c>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row>
    <row r="84" spans="1:35" x14ac:dyDescent="0.25">
      <c r="A84" s="114" t="s">
        <v>425</v>
      </c>
      <c r="B84" s="114" t="s">
        <v>447</v>
      </c>
      <c r="C84" s="114" t="s">
        <v>448</v>
      </c>
      <c r="D84" s="114">
        <v>5</v>
      </c>
      <c r="E84" s="114" t="s">
        <v>449</v>
      </c>
      <c r="F84" s="114" t="s">
        <v>450</v>
      </c>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row>
    <row r="85" spans="1:35" x14ac:dyDescent="0.25">
      <c r="A85" s="114" t="s">
        <v>52</v>
      </c>
      <c r="B85" s="114" t="s">
        <v>451</v>
      </c>
      <c r="C85" s="114" t="s">
        <v>452</v>
      </c>
      <c r="D85" s="114">
        <v>1</v>
      </c>
      <c r="E85" s="114" t="s">
        <v>453</v>
      </c>
      <c r="F85" s="114" t="s">
        <v>454</v>
      </c>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row>
    <row r="86" spans="1:35" x14ac:dyDescent="0.25">
      <c r="A86" s="114" t="s">
        <v>52</v>
      </c>
      <c r="B86" s="114" t="s">
        <v>455</v>
      </c>
      <c r="C86" s="114" t="s">
        <v>456</v>
      </c>
      <c r="D86" s="114">
        <v>2</v>
      </c>
      <c r="E86" s="114" t="s">
        <v>457</v>
      </c>
      <c r="F86" s="114" t="s">
        <v>454</v>
      </c>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row>
    <row r="87" spans="1:35" x14ac:dyDescent="0.25">
      <c r="A87" s="114" t="s">
        <v>52</v>
      </c>
      <c r="B87" s="114" t="s">
        <v>458</v>
      </c>
      <c r="C87" s="114" t="s">
        <v>459</v>
      </c>
      <c r="D87" s="114">
        <v>3</v>
      </c>
      <c r="E87" s="114" t="s">
        <v>460</v>
      </c>
      <c r="F87" s="114" t="s">
        <v>454</v>
      </c>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row>
    <row r="88" spans="1:35" x14ac:dyDescent="0.25">
      <c r="A88" s="114" t="s">
        <v>52</v>
      </c>
      <c r="B88" s="114" t="s">
        <v>461</v>
      </c>
      <c r="C88" s="114" t="s">
        <v>462</v>
      </c>
      <c r="D88" s="114">
        <v>2</v>
      </c>
      <c r="E88" s="114" t="s">
        <v>463</v>
      </c>
      <c r="F88" s="114" t="s">
        <v>454</v>
      </c>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row>
    <row r="90" spans="1:35" x14ac:dyDescent="0.25">
      <c r="A90" s="114"/>
      <c r="B90" s="114"/>
      <c r="C90" s="114"/>
      <c r="D90" s="114"/>
      <c r="E90" s="114"/>
      <c r="F90" s="114"/>
      <c r="G90" s="108"/>
      <c r="H90" s="108"/>
      <c r="I90" s="108"/>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row>
    <row r="91" spans="1:35" x14ac:dyDescent="0.25">
      <c r="A91" s="59" t="s">
        <v>464</v>
      </c>
      <c r="B91" s="59" t="s">
        <v>465</v>
      </c>
      <c r="C91" s="114"/>
      <c r="D91" s="109" t="str">
        <f t="array" ref="D91:D99">_xlfn.UNIQUE(A2:A88)</f>
        <v>Mecanico</v>
      </c>
      <c r="E91" s="110" t="e" vm="1">
        <f t="array" ref="E91:E116">_xlfn._xlws.FILTER(B2:B88, A2:A88='RA Form'!D8)</f>
        <v>#VALUE!</v>
      </c>
      <c r="F91" s="109" t="e" vm="1">
        <f t="array" ref="F91">_xlfn._xlws.FILTER(C2:C88, B2:B88='RA Form'!E8)</f>
        <v>#VALUE!</v>
      </c>
      <c r="G91" s="108" t="e" vm="1">
        <f t="array" ref="G91:G92">_xlfn._xlws.FILTER(E2:E88, C2:C88='RA Form'!F8)</f>
        <v>#VALUE!</v>
      </c>
      <c r="H91" s="108" t="e" vm="1">
        <f t="array" ref="H91">_xlfn._xlws.FILTER(F2:F88, E2:E88='RA Form'!K8)</f>
        <v>#VALUE!</v>
      </c>
      <c r="I91" s="108"/>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row>
    <row r="92" spans="1:35" x14ac:dyDescent="0.25">
      <c r="A92" s="114" t="s">
        <v>466</v>
      </c>
      <c r="B92" s="114" t="s">
        <v>53</v>
      </c>
      <c r="C92" s="114"/>
      <c r="D92" s="109" t="str">
        <v>Lugar de trabajo</v>
      </c>
      <c r="E92" s="109" t="e" vm="1">
        <v>#VALUE!</v>
      </c>
      <c r="F92" s="109"/>
      <c r="G92" s="108" t="e" vm="1">
        <v>#VALUE!</v>
      </c>
      <c r="H92" s="108"/>
      <c r="I92" s="108"/>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row>
    <row r="93" spans="1:35" x14ac:dyDescent="0.25">
      <c r="A93" s="114" t="s">
        <v>467</v>
      </c>
      <c r="B93" s="114" t="s">
        <v>52</v>
      </c>
      <c r="C93" s="109"/>
      <c r="D93" s="109" t="str">
        <v>Herramientas</v>
      </c>
      <c r="E93" s="109" t="e" vm="1">
        <v>#VALUE!</v>
      </c>
      <c r="F93" s="109"/>
      <c r="G93" s="108"/>
      <c r="H93" s="108"/>
      <c r="I93" s="108"/>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row>
    <row r="94" spans="1:35" x14ac:dyDescent="0.25">
      <c r="A94" s="114" t="s">
        <v>468</v>
      </c>
      <c r="B94" s="114" t="s">
        <v>51</v>
      </c>
      <c r="C94" s="109"/>
      <c r="D94" s="109" t="str">
        <v>Eléctrico</v>
      </c>
      <c r="E94" s="109" t="e" vm="1">
        <v>#VALUE!</v>
      </c>
      <c r="F94" s="109"/>
      <c r="G94" s="108"/>
      <c r="H94" s="108"/>
      <c r="I94" s="108"/>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row>
    <row r="95" spans="1:35" x14ac:dyDescent="0.25">
      <c r="A95" s="114"/>
      <c r="B95" s="114"/>
      <c r="C95" s="109"/>
      <c r="D95" s="109" t="str">
        <v>Psicosocial</v>
      </c>
      <c r="E95" s="109" t="e" vm="1">
        <v>#VALUE!</v>
      </c>
      <c r="F95" s="109"/>
      <c r="G95" s="108"/>
      <c r="H95" s="108"/>
      <c r="I95" s="108"/>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row>
    <row r="96" spans="1:35" x14ac:dyDescent="0.25">
      <c r="A96" s="114"/>
      <c r="B96" s="114"/>
      <c r="C96" s="109"/>
      <c r="D96" s="109" t="str">
        <v>Actividades de trabajo</v>
      </c>
      <c r="E96" s="109" t="e" vm="1">
        <v>#VALUE!</v>
      </c>
      <c r="F96" s="109"/>
      <c r="G96" s="108"/>
      <c r="H96" s="108"/>
      <c r="I96" s="108"/>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row>
    <row r="97" spans="1:35" x14ac:dyDescent="0.25">
      <c r="A97" s="59" t="s">
        <v>469</v>
      </c>
      <c r="B97" s="114"/>
      <c r="C97" s="109"/>
      <c r="D97" s="109" t="str">
        <v>Ergonomía</v>
      </c>
      <c r="E97" s="109" t="e" vm="1">
        <v>#VALUE!</v>
      </c>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row>
    <row r="98" spans="1:35" x14ac:dyDescent="0.25">
      <c r="A98" s="114">
        <v>1</v>
      </c>
      <c r="B98" s="114"/>
      <c r="C98" s="109"/>
      <c r="D98" s="109" t="str">
        <v>Químicos</v>
      </c>
      <c r="E98" s="109" t="e" vm="1">
        <v>#VALUE!</v>
      </c>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row>
    <row r="99" spans="1:35" x14ac:dyDescent="0.25">
      <c r="A99" s="114">
        <v>2</v>
      </c>
      <c r="B99" s="114"/>
      <c r="C99" s="109"/>
      <c r="D99" s="109" t="str">
        <v>Seguridad</v>
      </c>
      <c r="E99" s="109" t="e" vm="1">
        <v>#VALUE!</v>
      </c>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row>
    <row r="100" spans="1:35" x14ac:dyDescent="0.25">
      <c r="A100" s="114">
        <v>3</v>
      </c>
      <c r="B100" s="114"/>
      <c r="C100" s="109"/>
      <c r="D100" s="109"/>
      <c r="E100" s="109" t="e" vm="1">
        <v>#VALUE!</v>
      </c>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row>
    <row r="101" spans="1:35" x14ac:dyDescent="0.25">
      <c r="A101" s="114">
        <v>4</v>
      </c>
      <c r="B101" s="114"/>
      <c r="C101" s="109"/>
      <c r="D101" s="109"/>
      <c r="E101" s="109" t="e" vm="1">
        <v>#VALUE!</v>
      </c>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row>
    <row r="102" spans="1:35" x14ac:dyDescent="0.25">
      <c r="A102" s="114">
        <v>5</v>
      </c>
      <c r="B102" s="114"/>
      <c r="C102" s="109"/>
      <c r="D102" s="109"/>
      <c r="E102" s="109" t="e" vm="1">
        <v>#VALUE!</v>
      </c>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row>
    <row r="103" spans="1:35" x14ac:dyDescent="0.25">
      <c r="A103" s="114"/>
      <c r="B103" s="114"/>
      <c r="C103" s="109"/>
      <c r="D103" s="109"/>
      <c r="E103" s="109" t="e" vm="1">
        <v>#VALUE!</v>
      </c>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row>
    <row r="104" spans="1:35" x14ac:dyDescent="0.25">
      <c r="A104" s="114"/>
      <c r="B104" s="114"/>
      <c r="C104" s="109"/>
      <c r="D104" s="109"/>
      <c r="E104" s="109" t="e" vm="1">
        <v>#VALUE!</v>
      </c>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row>
    <row r="105" spans="1:35" x14ac:dyDescent="0.25">
      <c r="A105" s="114"/>
      <c r="B105" s="114"/>
      <c r="C105" s="109"/>
      <c r="D105" s="109"/>
      <c r="E105" s="109" t="e" vm="1">
        <v>#VALUE!</v>
      </c>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row>
    <row r="106" spans="1:35" x14ac:dyDescent="0.25">
      <c r="A106" s="109" t="s">
        <v>470</v>
      </c>
      <c r="B106" s="114"/>
      <c r="C106" s="109"/>
      <c r="D106" s="109"/>
      <c r="E106" s="109" t="e" vm="1">
        <v>#VALUE!</v>
      </c>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row>
    <row r="107" spans="1:35" x14ac:dyDescent="0.25">
      <c r="A107" s="109" t="s">
        <v>471</v>
      </c>
      <c r="B107" s="114"/>
      <c r="C107" s="109"/>
      <c r="D107" s="109"/>
      <c r="E107" s="109" t="e" vm="1">
        <v>#VALUE!</v>
      </c>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row>
    <row r="108" spans="1:35" x14ac:dyDescent="0.25">
      <c r="A108" s="114"/>
      <c r="B108" s="114"/>
      <c r="C108" s="109"/>
      <c r="D108" s="109"/>
      <c r="E108" s="109" t="e" vm="1">
        <v>#VALUE!</v>
      </c>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row>
    <row r="109" spans="1:35" x14ac:dyDescent="0.25">
      <c r="A109" s="114"/>
      <c r="B109" s="114"/>
      <c r="C109" s="109"/>
      <c r="D109" s="109"/>
      <c r="E109" s="109" t="e" vm="1">
        <v>#VALUE!</v>
      </c>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row>
    <row r="110" spans="1:35" x14ac:dyDescent="0.25">
      <c r="A110" s="114"/>
      <c r="B110" s="114"/>
      <c r="C110" s="109"/>
      <c r="D110" s="109"/>
      <c r="E110" s="109" t="e" vm="1">
        <v>#VALUE!</v>
      </c>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row>
    <row r="111" spans="1:35" x14ac:dyDescent="0.25">
      <c r="A111" s="114"/>
      <c r="B111" s="114"/>
      <c r="C111" s="109"/>
      <c r="D111" s="109"/>
      <c r="E111" s="109" t="e" vm="1">
        <v>#VALUE!</v>
      </c>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row>
    <row r="112" spans="1:35" x14ac:dyDescent="0.25">
      <c r="A112" s="114"/>
      <c r="B112" s="114"/>
      <c r="C112" s="109"/>
      <c r="D112" s="109"/>
      <c r="E112" s="109" t="e" vm="1">
        <v>#VALUE!</v>
      </c>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row>
    <row r="113" spans="3:35" x14ac:dyDescent="0.25">
      <c r="C113" s="109"/>
      <c r="D113" s="109"/>
      <c r="E113" s="109" t="e" vm="1">
        <v>#VALUE!</v>
      </c>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row>
    <row r="114" spans="3:35" x14ac:dyDescent="0.25">
      <c r="C114" s="108"/>
      <c r="D114" s="108"/>
      <c r="E114" s="108" t="e" vm="1">
        <v>#VALUE!</v>
      </c>
      <c r="F114" s="108"/>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row>
    <row r="115" spans="3:35" x14ac:dyDescent="0.25">
      <c r="C115" s="108"/>
      <c r="D115" s="108"/>
      <c r="E115" s="108" t="e" vm="1">
        <v>#VALUE!</v>
      </c>
      <c r="F115" s="108"/>
      <c r="G115" s="108"/>
      <c r="H115" s="108"/>
      <c r="I115" s="108"/>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row>
    <row r="116" spans="3:35" x14ac:dyDescent="0.25">
      <c r="C116" s="108"/>
      <c r="D116" s="108"/>
      <c r="E116" s="108" t="e" vm="1">
        <v>#VALUE!</v>
      </c>
      <c r="F116" s="108"/>
      <c r="G116" s="108"/>
      <c r="H116" s="108"/>
      <c r="I116" s="108"/>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row>
    <row r="117" spans="3:35" x14ac:dyDescent="0.25">
      <c r="C117" s="108"/>
      <c r="D117" s="108"/>
      <c r="E117" s="108"/>
      <c r="F117" s="108"/>
      <c r="G117" s="108"/>
      <c r="H117" s="108"/>
      <c r="I117" s="108"/>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row>
  </sheetData>
  <autoFilter ref="A1:F88" xr:uid="{00000000-0009-0000-0000-000004000000}"/>
  <conditionalFormatting sqref="D2:D88">
    <cfRule type="colorScale" priority="1">
      <colorScale>
        <cfvo type="num" val="1"/>
        <cfvo type="num" val="3"/>
        <cfvo type="num" val="5"/>
        <color rgb="FF63BE7B"/>
        <color rgb="FFFFEB84"/>
        <color rgb="FFF8696B"/>
      </colorScale>
    </cfRule>
  </conditionalFormatting>
  <pageMargins left="0.75" right="0.75" top="1" bottom="1" header="0.5" footer="0.5"/>
  <pageSetup orientation="portrait" r:id="rId1"/>
  <headerFooter>
    <oddFooter>&amp;L16-HS80-8000-00019 Rev C / 16-HS20-8000-00037&amp;RTIEMPO DE RETENCION EN EL PUNTO DE ORIGEN: N/A
ARCHIVO MUERTO: N/A
MEDIO DE REGISTRO: ELECTRONICO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
  <sheetViews>
    <sheetView workbookViewId="0">
      <selection activeCell="J20" sqref="J20"/>
    </sheetView>
  </sheetViews>
  <sheetFormatPr defaultColWidth="9.140625"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workbookViewId="0">
      <selection activeCell="J21" sqref="J21"/>
    </sheetView>
  </sheetViews>
  <sheetFormatPr defaultColWidth="9.140625"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6"/>
  <sheetViews>
    <sheetView workbookViewId="0">
      <selection activeCell="H35" sqref="H35"/>
    </sheetView>
  </sheetViews>
  <sheetFormatPr defaultColWidth="9.140625" defaultRowHeight="12.75" x14ac:dyDescent="0.2"/>
  <cols>
    <col min="1" max="1" width="22.28515625" customWidth="1"/>
  </cols>
  <sheetData>
    <row r="1" spans="1:1" ht="14.1" customHeight="1" x14ac:dyDescent="0.2">
      <c r="A1" s="17" t="s">
        <v>472</v>
      </c>
    </row>
    <row r="2" spans="1:1" ht="14.1" customHeight="1" x14ac:dyDescent="0.2">
      <c r="A2" s="17" t="s">
        <v>473</v>
      </c>
    </row>
    <row r="3" spans="1:1" ht="14.1" customHeight="1" x14ac:dyDescent="0.2">
      <c r="A3" s="17" t="s">
        <v>474</v>
      </c>
    </row>
    <row r="4" spans="1:1" ht="27.95" customHeight="1" x14ac:dyDescent="0.2">
      <c r="A4" s="17" t="s">
        <v>475</v>
      </c>
    </row>
    <row r="5" spans="1:1" ht="27.95" customHeight="1" x14ac:dyDescent="0.2">
      <c r="A5" s="17" t="s">
        <v>476</v>
      </c>
    </row>
    <row r="6" spans="1:1" ht="14.1" customHeight="1" x14ac:dyDescent="0.2">
      <c r="A6" s="17" t="s">
        <v>477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A29"/>
  <sheetViews>
    <sheetView workbookViewId="0">
      <selection activeCell="C16" sqref="C16"/>
    </sheetView>
  </sheetViews>
  <sheetFormatPr defaultColWidth="9.140625" defaultRowHeight="12.75" x14ac:dyDescent="0.2"/>
  <sheetData>
    <row r="1" spans="1:1" ht="15.6" customHeight="1" x14ac:dyDescent="0.25">
      <c r="A1" s="18" t="s">
        <v>478</v>
      </c>
    </row>
    <row r="2" spans="1:1" ht="15.6" customHeight="1" x14ac:dyDescent="0.25">
      <c r="A2" s="18" t="s">
        <v>479</v>
      </c>
    </row>
    <row r="3" spans="1:1" ht="15.6" customHeight="1" x14ac:dyDescent="0.25">
      <c r="A3" s="18" t="s">
        <v>480</v>
      </c>
    </row>
    <row r="4" spans="1:1" ht="15.6" customHeight="1" x14ac:dyDescent="0.25">
      <c r="A4" s="18" t="s">
        <v>481</v>
      </c>
    </row>
    <row r="5" spans="1:1" ht="15.6" customHeight="1" x14ac:dyDescent="0.25">
      <c r="A5" s="18" t="s">
        <v>482</v>
      </c>
    </row>
    <row r="6" spans="1:1" ht="15.6" customHeight="1" x14ac:dyDescent="0.25">
      <c r="A6" s="18" t="s">
        <v>483</v>
      </c>
    </row>
    <row r="7" spans="1:1" ht="15.6" customHeight="1" x14ac:dyDescent="0.25">
      <c r="A7" s="18" t="s">
        <v>484</v>
      </c>
    </row>
    <row r="8" spans="1:1" ht="15.6" customHeight="1" x14ac:dyDescent="0.25">
      <c r="A8" s="18" t="s">
        <v>485</v>
      </c>
    </row>
    <row r="9" spans="1:1" ht="15.6" customHeight="1" x14ac:dyDescent="0.25">
      <c r="A9" s="18" t="s">
        <v>486</v>
      </c>
    </row>
    <row r="10" spans="1:1" ht="15.6" customHeight="1" x14ac:dyDescent="0.25">
      <c r="A10" s="18" t="s">
        <v>487</v>
      </c>
    </row>
    <row r="11" spans="1:1" ht="15.6" customHeight="1" x14ac:dyDescent="0.25">
      <c r="A11" s="18" t="s">
        <v>488</v>
      </c>
    </row>
    <row r="12" spans="1:1" ht="15.6" customHeight="1" x14ac:dyDescent="0.25">
      <c r="A12" s="18" t="s">
        <v>489</v>
      </c>
    </row>
    <row r="13" spans="1:1" ht="15.6" customHeight="1" x14ac:dyDescent="0.25">
      <c r="A13" s="18" t="s">
        <v>490</v>
      </c>
    </row>
    <row r="14" spans="1:1" ht="15.6" customHeight="1" x14ac:dyDescent="0.25">
      <c r="A14" s="18" t="s">
        <v>491</v>
      </c>
    </row>
    <row r="15" spans="1:1" ht="15.6" customHeight="1" x14ac:dyDescent="0.25">
      <c r="A15" s="18" t="s">
        <v>492</v>
      </c>
    </row>
    <row r="16" spans="1:1" ht="15.6" customHeight="1" x14ac:dyDescent="0.25">
      <c r="A16" s="18" t="s">
        <v>493</v>
      </c>
    </row>
    <row r="17" spans="1:1" ht="15.6" customHeight="1" x14ac:dyDescent="0.25">
      <c r="A17" s="18" t="s">
        <v>494</v>
      </c>
    </row>
    <row r="18" spans="1:1" ht="15.6" customHeight="1" x14ac:dyDescent="0.25">
      <c r="A18" s="18" t="s">
        <v>495</v>
      </c>
    </row>
    <row r="19" spans="1:1" ht="15.6" customHeight="1" x14ac:dyDescent="0.25">
      <c r="A19" s="18" t="s">
        <v>496</v>
      </c>
    </row>
    <row r="20" spans="1:1" ht="15.6" customHeight="1" x14ac:dyDescent="0.25">
      <c r="A20" s="18" t="s">
        <v>497</v>
      </c>
    </row>
    <row r="21" spans="1:1" ht="15.6" customHeight="1" x14ac:dyDescent="0.25">
      <c r="A21" s="18" t="s">
        <v>498</v>
      </c>
    </row>
    <row r="22" spans="1:1" ht="15.6" customHeight="1" x14ac:dyDescent="0.25">
      <c r="A22" s="18" t="s">
        <v>499</v>
      </c>
    </row>
    <row r="23" spans="1:1" ht="15.6" customHeight="1" x14ac:dyDescent="0.25">
      <c r="A23" s="18" t="s">
        <v>500</v>
      </c>
    </row>
    <row r="24" spans="1:1" ht="15.6" customHeight="1" x14ac:dyDescent="0.25">
      <c r="A24" s="18" t="s">
        <v>501</v>
      </c>
    </row>
    <row r="25" spans="1:1" ht="15.6" customHeight="1" x14ac:dyDescent="0.25">
      <c r="A25" s="18" t="s">
        <v>502</v>
      </c>
    </row>
    <row r="26" spans="1:1" ht="15.6" customHeight="1" x14ac:dyDescent="0.25">
      <c r="A26" s="18" t="s">
        <v>503</v>
      </c>
    </row>
    <row r="27" spans="1:1" ht="15.6" customHeight="1" x14ac:dyDescent="0.25">
      <c r="A27" s="18" t="s">
        <v>504</v>
      </c>
    </row>
    <row r="28" spans="1:1" ht="15.6" customHeight="1" x14ac:dyDescent="0.25">
      <c r="A28" s="18" t="s">
        <v>505</v>
      </c>
    </row>
    <row r="29" spans="1:1" ht="15.6" customHeight="1" x14ac:dyDescent="0.25">
      <c r="A29" s="18"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50"/>
  <sheetViews>
    <sheetView topLeftCell="A9" workbookViewId="0">
      <selection activeCell="B34" sqref="B34"/>
    </sheetView>
  </sheetViews>
  <sheetFormatPr defaultColWidth="9.140625" defaultRowHeight="12.75" x14ac:dyDescent="0.2"/>
  <cols>
    <col min="3" max="3" width="21" customWidth="1"/>
  </cols>
  <sheetData>
    <row r="1" spans="1:12" ht="78" customHeight="1" x14ac:dyDescent="0.2">
      <c r="A1" s="165" t="s">
        <v>507</v>
      </c>
      <c r="B1" s="156"/>
      <c r="C1" s="156"/>
      <c r="D1" s="156"/>
      <c r="E1" s="156"/>
      <c r="F1" s="156"/>
      <c r="G1" s="156"/>
      <c r="H1" s="156"/>
      <c r="I1" s="156"/>
      <c r="J1" s="156"/>
      <c r="K1" s="156"/>
      <c r="L1" s="156"/>
    </row>
    <row r="2" spans="1:12" ht="12.95" customHeight="1" x14ac:dyDescent="0.2">
      <c r="A2" s="162" t="s">
        <v>508</v>
      </c>
      <c r="B2" s="136"/>
      <c r="C2" s="136"/>
      <c r="D2" s="136"/>
      <c r="E2" s="136"/>
    </row>
    <row r="3" spans="1:12" ht="14.45" customHeight="1" x14ac:dyDescent="0.25">
      <c r="A3" s="3" t="s">
        <v>509</v>
      </c>
      <c r="B3" s="3"/>
      <c r="C3" s="4" t="s">
        <v>510</v>
      </c>
      <c r="D3" s="9"/>
      <c r="E3" s="10"/>
    </row>
    <row r="4" spans="1:12" ht="14.45" customHeight="1" x14ac:dyDescent="0.25">
      <c r="A4" s="3"/>
      <c r="B4" s="3"/>
      <c r="C4" s="4" t="s">
        <v>511</v>
      </c>
      <c r="D4" s="9"/>
      <c r="E4" s="10"/>
    </row>
    <row r="5" spans="1:12" ht="14.45" customHeight="1" x14ac:dyDescent="0.25">
      <c r="A5" s="3"/>
      <c r="B5" s="3"/>
      <c r="C5" s="4" t="s">
        <v>512</v>
      </c>
      <c r="D5" s="9"/>
      <c r="E5" s="10"/>
    </row>
    <row r="6" spans="1:12" ht="14.45" customHeight="1" x14ac:dyDescent="0.25">
      <c r="A6" s="3"/>
      <c r="B6" s="3"/>
      <c r="C6" s="4" t="s">
        <v>513</v>
      </c>
      <c r="D6" s="9"/>
      <c r="E6" s="10"/>
    </row>
    <row r="7" spans="1:12" ht="14.45" customHeight="1" x14ac:dyDescent="0.25">
      <c r="A7" s="3" t="s">
        <v>514</v>
      </c>
      <c r="B7" s="3"/>
      <c r="C7" s="4" t="s">
        <v>515</v>
      </c>
      <c r="D7" s="9"/>
    </row>
    <row r="8" spans="1:12" ht="14.45" customHeight="1" x14ac:dyDescent="0.25">
      <c r="A8" s="3"/>
      <c r="B8" s="3"/>
      <c r="C8" s="4" t="s">
        <v>516</v>
      </c>
      <c r="D8" s="9"/>
      <c r="E8" s="10"/>
    </row>
    <row r="9" spans="1:12" ht="14.45" customHeight="1" x14ac:dyDescent="0.25">
      <c r="A9" s="3" t="s">
        <v>492</v>
      </c>
      <c r="B9" s="3"/>
      <c r="C9" s="4" t="s">
        <v>517</v>
      </c>
      <c r="D9" s="9"/>
    </row>
    <row r="10" spans="1:12" ht="14.45" customHeight="1" x14ac:dyDescent="0.25">
      <c r="A10" s="3"/>
      <c r="B10" s="3"/>
      <c r="C10" s="4" t="s">
        <v>518</v>
      </c>
      <c r="D10" s="9"/>
      <c r="E10" s="10"/>
    </row>
    <row r="11" spans="1:12" ht="14.45" customHeight="1" x14ac:dyDescent="0.25">
      <c r="A11" s="3" t="s">
        <v>519</v>
      </c>
      <c r="B11" s="3"/>
      <c r="C11" s="4" t="s">
        <v>520</v>
      </c>
      <c r="D11" s="9"/>
    </row>
    <row r="12" spans="1:12" ht="14.45" customHeight="1" x14ac:dyDescent="0.25">
      <c r="A12" s="3"/>
      <c r="B12" s="3"/>
      <c r="C12" s="4" t="s">
        <v>521</v>
      </c>
      <c r="D12" s="9"/>
      <c r="E12" s="10"/>
    </row>
    <row r="13" spans="1:12" ht="14.45" customHeight="1" x14ac:dyDescent="0.2">
      <c r="A13" s="163" t="s">
        <v>522</v>
      </c>
      <c r="B13" s="5"/>
      <c r="C13" s="6" t="s">
        <v>523</v>
      </c>
      <c r="D13" s="11"/>
      <c r="E13" s="10"/>
    </row>
    <row r="14" spans="1:12" ht="20.100000000000001" customHeight="1" x14ac:dyDescent="0.2">
      <c r="A14" s="161"/>
      <c r="B14" s="5"/>
      <c r="C14" s="4" t="s">
        <v>524</v>
      </c>
      <c r="D14" s="9"/>
      <c r="E14" s="10"/>
    </row>
    <row r="15" spans="1:12" ht="14.45" customHeight="1" x14ac:dyDescent="0.2">
      <c r="A15" s="5"/>
      <c r="B15" s="5"/>
      <c r="C15" s="4" t="s">
        <v>525</v>
      </c>
      <c r="D15" s="9"/>
      <c r="E15" s="10"/>
    </row>
    <row r="16" spans="1:12" ht="14.45" customHeight="1" x14ac:dyDescent="0.2">
      <c r="A16" s="5"/>
      <c r="B16" s="5"/>
      <c r="C16" s="4" t="s">
        <v>526</v>
      </c>
      <c r="D16" s="9"/>
      <c r="E16" s="10"/>
    </row>
    <row r="17" spans="1:5" ht="20.100000000000001" customHeight="1" x14ac:dyDescent="0.25">
      <c r="A17" s="3" t="s">
        <v>527</v>
      </c>
      <c r="B17" s="3"/>
      <c r="C17" s="4" t="s">
        <v>528</v>
      </c>
      <c r="D17" s="9"/>
    </row>
    <row r="18" spans="1:5" ht="20.100000000000001" customHeight="1" x14ac:dyDescent="0.25">
      <c r="A18" s="3"/>
      <c r="B18" s="3"/>
      <c r="C18" s="4" t="s">
        <v>529</v>
      </c>
      <c r="D18" s="9"/>
      <c r="E18" s="10"/>
    </row>
    <row r="19" spans="1:5" ht="14.45" customHeight="1" x14ac:dyDescent="0.25">
      <c r="A19" s="3"/>
      <c r="B19" s="3"/>
      <c r="C19" s="4" t="s">
        <v>530</v>
      </c>
      <c r="D19" s="9"/>
      <c r="E19" s="10"/>
    </row>
    <row r="20" spans="1:5" ht="14.45" customHeight="1" x14ac:dyDescent="0.25">
      <c r="A20" s="3" t="s">
        <v>531</v>
      </c>
      <c r="B20" s="3"/>
      <c r="C20" s="4" t="s">
        <v>532</v>
      </c>
      <c r="D20" s="9"/>
    </row>
    <row r="21" spans="1:5" ht="14.45" customHeight="1" x14ac:dyDescent="0.25">
      <c r="A21" s="3"/>
      <c r="B21" s="3"/>
      <c r="C21" s="4" t="s">
        <v>533</v>
      </c>
      <c r="D21" s="9"/>
      <c r="E21" s="10"/>
    </row>
    <row r="22" spans="1:5" ht="14.45" customHeight="1" x14ac:dyDescent="0.25">
      <c r="A22" s="3"/>
      <c r="B22" s="3"/>
      <c r="C22" s="4" t="s">
        <v>534</v>
      </c>
      <c r="D22" s="9"/>
      <c r="E22" s="10"/>
    </row>
    <row r="23" spans="1:5" ht="14.45" customHeight="1" x14ac:dyDescent="0.25">
      <c r="A23" s="3" t="s">
        <v>535</v>
      </c>
      <c r="B23" s="3"/>
      <c r="C23" s="4" t="s">
        <v>536</v>
      </c>
      <c r="D23" s="9"/>
    </row>
    <row r="24" spans="1:5" ht="14.45" customHeight="1" x14ac:dyDescent="0.25">
      <c r="A24" s="3"/>
      <c r="B24" s="3"/>
      <c r="C24" s="4" t="s">
        <v>537</v>
      </c>
      <c r="D24" s="9"/>
      <c r="E24" s="10"/>
    </row>
    <row r="25" spans="1:5" ht="14.45" customHeight="1" x14ac:dyDescent="0.25">
      <c r="A25" s="3"/>
      <c r="B25" s="3"/>
      <c r="C25" s="4" t="s">
        <v>538</v>
      </c>
      <c r="D25" s="9"/>
    </row>
    <row r="26" spans="1:5" ht="14.45" customHeight="1" x14ac:dyDescent="0.25">
      <c r="A26" s="3"/>
      <c r="B26" s="3"/>
      <c r="C26" s="4" t="s">
        <v>539</v>
      </c>
      <c r="D26" s="9"/>
      <c r="E26" s="10"/>
    </row>
    <row r="27" spans="1:5" ht="14.45" customHeight="1" x14ac:dyDescent="0.25">
      <c r="A27" s="3"/>
      <c r="B27" s="3"/>
      <c r="C27" s="4" t="s">
        <v>540</v>
      </c>
      <c r="D27" s="9"/>
    </row>
    <row r="28" spans="1:5" ht="14.45" customHeight="1" x14ac:dyDescent="0.25">
      <c r="A28" s="3"/>
      <c r="B28" s="3"/>
      <c r="C28" s="4" t="s">
        <v>541</v>
      </c>
      <c r="D28" s="9"/>
      <c r="E28" s="10"/>
    </row>
    <row r="29" spans="1:5" ht="14.45" customHeight="1" x14ac:dyDescent="0.25">
      <c r="A29" s="3"/>
      <c r="B29" s="3"/>
      <c r="C29" s="4" t="s">
        <v>542</v>
      </c>
      <c r="D29" s="9"/>
      <c r="E29" s="10"/>
    </row>
    <row r="30" spans="1:5" ht="14.45" customHeight="1" x14ac:dyDescent="0.2">
      <c r="A30" s="8" t="s">
        <v>543</v>
      </c>
      <c r="B30" s="5"/>
      <c r="C30" s="4" t="s">
        <v>544</v>
      </c>
      <c r="D30" s="9"/>
    </row>
    <row r="31" spans="1:5" ht="14.45" customHeight="1" x14ac:dyDescent="0.2">
      <c r="A31" s="8"/>
      <c r="B31" s="5"/>
      <c r="C31" s="4" t="s">
        <v>545</v>
      </c>
      <c r="D31" s="9"/>
      <c r="E31" s="10"/>
    </row>
    <row r="32" spans="1:5" ht="14.45" customHeight="1" x14ac:dyDescent="0.2">
      <c r="A32" s="8"/>
      <c r="B32" s="5"/>
      <c r="C32" s="4" t="s">
        <v>546</v>
      </c>
      <c r="D32" s="9"/>
    </row>
    <row r="33" spans="1:5" ht="14.45" customHeight="1" x14ac:dyDescent="0.2">
      <c r="A33" s="8"/>
      <c r="B33" s="5"/>
      <c r="C33" s="4" t="s">
        <v>547</v>
      </c>
      <c r="D33" s="9"/>
      <c r="E33" s="10"/>
    </row>
    <row r="34" spans="1:5" ht="14.45" customHeight="1" x14ac:dyDescent="0.2">
      <c r="A34" s="8" t="s">
        <v>548</v>
      </c>
      <c r="B34" s="5"/>
      <c r="C34" s="4" t="s">
        <v>549</v>
      </c>
      <c r="D34" s="9"/>
    </row>
    <row r="35" spans="1:5" ht="14.45" customHeight="1" x14ac:dyDescent="0.2">
      <c r="A35" s="8"/>
      <c r="B35" s="5"/>
      <c r="C35" s="4" t="s">
        <v>550</v>
      </c>
      <c r="D35" s="9"/>
      <c r="E35" s="10"/>
    </row>
    <row r="36" spans="1:5" ht="14.45" customHeight="1" x14ac:dyDescent="0.2">
      <c r="A36" s="8"/>
      <c r="B36" s="5"/>
      <c r="C36" s="4" t="s">
        <v>551</v>
      </c>
      <c r="D36" s="9"/>
    </row>
    <row r="37" spans="1:5" ht="14.45" customHeight="1" x14ac:dyDescent="0.2">
      <c r="A37" s="8"/>
      <c r="B37" s="5"/>
      <c r="C37" s="4" t="s">
        <v>552</v>
      </c>
      <c r="D37" s="9"/>
      <c r="E37" s="10"/>
    </row>
    <row r="38" spans="1:5" ht="14.45" customHeight="1" x14ac:dyDescent="0.2">
      <c r="A38" s="5"/>
      <c r="B38" s="5"/>
      <c r="C38" s="4" t="s">
        <v>553</v>
      </c>
      <c r="D38" s="9"/>
    </row>
    <row r="39" spans="1:5" ht="14.45" customHeight="1" x14ac:dyDescent="0.2">
      <c r="A39" s="5"/>
      <c r="B39" s="5"/>
      <c r="C39" s="4" t="s">
        <v>554</v>
      </c>
      <c r="D39" s="9"/>
      <c r="E39" s="10"/>
    </row>
    <row r="40" spans="1:5" ht="14.45" customHeight="1" x14ac:dyDescent="0.25">
      <c r="A40" s="3" t="s">
        <v>555</v>
      </c>
      <c r="B40" s="3"/>
      <c r="C40" s="7" t="s">
        <v>556</v>
      </c>
    </row>
    <row r="41" spans="1:5" ht="14.45" customHeight="1" x14ac:dyDescent="0.25">
      <c r="A41" s="3"/>
      <c r="B41" s="3"/>
      <c r="C41" s="7" t="s">
        <v>557</v>
      </c>
      <c r="E41" s="12"/>
    </row>
    <row r="42" spans="1:5" ht="14.45" customHeight="1" x14ac:dyDescent="0.25">
      <c r="A42" s="3"/>
      <c r="B42" s="3"/>
      <c r="C42" s="7" t="s">
        <v>558</v>
      </c>
      <c r="E42" s="12"/>
    </row>
    <row r="43" spans="1:5" ht="14.45" customHeight="1" x14ac:dyDescent="0.25">
      <c r="A43" s="3"/>
      <c r="B43" s="3"/>
      <c r="C43" s="7" t="s">
        <v>559</v>
      </c>
      <c r="D43" s="12"/>
      <c r="E43" s="12"/>
    </row>
    <row r="44" spans="1:5" ht="14.45" customHeight="1" x14ac:dyDescent="0.25">
      <c r="A44" s="3"/>
      <c r="B44" s="3"/>
      <c r="C44" s="7" t="s">
        <v>560</v>
      </c>
      <c r="D44" s="12"/>
      <c r="E44" s="12"/>
    </row>
    <row r="45" spans="1:5" ht="14.45" customHeight="1" x14ac:dyDescent="0.25">
      <c r="A45" s="3"/>
      <c r="B45" s="3"/>
      <c r="C45" s="7" t="s">
        <v>561</v>
      </c>
      <c r="D45" s="12"/>
      <c r="E45" s="12"/>
    </row>
    <row r="46" spans="1:5" ht="14.45" customHeight="1" x14ac:dyDescent="0.25">
      <c r="A46" s="3"/>
      <c r="B46" s="3"/>
      <c r="C46" s="7" t="s">
        <v>562</v>
      </c>
      <c r="D46" s="12"/>
      <c r="E46" s="12"/>
    </row>
    <row r="47" spans="1:5" ht="14.45" customHeight="1" x14ac:dyDescent="0.25">
      <c r="A47" s="3" t="s">
        <v>563</v>
      </c>
      <c r="B47" s="164" t="s">
        <v>564</v>
      </c>
      <c r="C47" s="119"/>
      <c r="D47" s="119"/>
      <c r="E47" s="120"/>
    </row>
    <row r="49" spans="1:1" x14ac:dyDescent="0.2">
      <c r="A49" t="s">
        <v>565</v>
      </c>
    </row>
    <row r="50" spans="1:1" x14ac:dyDescent="0.2">
      <c r="A50" t="s">
        <v>566</v>
      </c>
    </row>
  </sheetData>
  <mergeCells count="4">
    <mergeCell ref="A2:E2"/>
    <mergeCell ref="A13:A14"/>
    <mergeCell ref="B47:E47"/>
    <mergeCell ref="A1:L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8"/>
  <sheetViews>
    <sheetView workbookViewId="0">
      <selection activeCell="A2" sqref="A2:C8"/>
    </sheetView>
  </sheetViews>
  <sheetFormatPr defaultColWidth="9.140625" defaultRowHeight="12.75" x14ac:dyDescent="0.2"/>
  <cols>
    <col min="1" max="1" width="44.28515625" customWidth="1"/>
    <col min="3" max="3" width="9.28515625" customWidth="1"/>
    <col min="6" max="6" width="11.28515625" bestFit="1" customWidth="1"/>
  </cols>
  <sheetData>
    <row r="1" spans="1:9" x14ac:dyDescent="0.2">
      <c r="C1" s="2" t="s">
        <v>567</v>
      </c>
    </row>
    <row r="2" spans="1:9" x14ac:dyDescent="0.2">
      <c r="A2" t="s">
        <v>568</v>
      </c>
      <c r="B2">
        <v>5</v>
      </c>
      <c r="C2" s="15">
        <v>0</v>
      </c>
    </row>
    <row r="3" spans="1:9" x14ac:dyDescent="0.2">
      <c r="A3" t="s">
        <v>569</v>
      </c>
      <c r="B3">
        <v>4</v>
      </c>
      <c r="C3" s="16">
        <v>-0.1</v>
      </c>
    </row>
    <row r="4" spans="1:9" x14ac:dyDescent="0.2">
      <c r="A4" t="s">
        <v>570</v>
      </c>
      <c r="B4">
        <v>4</v>
      </c>
      <c r="C4" s="16">
        <v>-0.1</v>
      </c>
    </row>
    <row r="5" spans="1:9" x14ac:dyDescent="0.2">
      <c r="A5" t="s">
        <v>571</v>
      </c>
      <c r="B5">
        <v>4</v>
      </c>
      <c r="C5" s="16">
        <v>-0.1</v>
      </c>
    </row>
    <row r="6" spans="1:9" ht="12.95" customHeight="1" x14ac:dyDescent="0.2">
      <c r="A6" t="s">
        <v>572</v>
      </c>
      <c r="B6">
        <v>3</v>
      </c>
      <c r="C6" s="16">
        <v>-0.4</v>
      </c>
      <c r="D6" s="13"/>
      <c r="E6" s="14"/>
      <c r="F6" s="14"/>
      <c r="G6" s="14"/>
      <c r="H6" s="14"/>
      <c r="I6" s="14"/>
    </row>
    <row r="7" spans="1:9" ht="12.95" customHeight="1" x14ac:dyDescent="0.2">
      <c r="A7" t="s">
        <v>573</v>
      </c>
      <c r="B7">
        <v>2</v>
      </c>
      <c r="C7" s="16">
        <v>-0.7</v>
      </c>
      <c r="D7" s="13"/>
      <c r="E7" s="14"/>
      <c r="F7" s="14"/>
    </row>
    <row r="8" spans="1:9" ht="12.95" customHeight="1" x14ac:dyDescent="0.2">
      <c r="A8" t="s">
        <v>574</v>
      </c>
      <c r="B8">
        <v>1</v>
      </c>
      <c r="C8" s="16">
        <v>-0.8</v>
      </c>
      <c r="D8" s="13"/>
      <c r="E8" s="14"/>
      <c r="F8"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C6"/>
  <sheetViews>
    <sheetView workbookViewId="0">
      <selection activeCell="C3" sqref="C3"/>
    </sheetView>
  </sheetViews>
  <sheetFormatPr defaultColWidth="9.140625" defaultRowHeight="12.75" x14ac:dyDescent="0.2"/>
  <sheetData>
    <row r="1" spans="1:3" ht="12.95" customHeight="1" x14ac:dyDescent="0.2">
      <c r="C1" s="1" t="s">
        <v>575</v>
      </c>
    </row>
    <row r="2" spans="1:3" x14ac:dyDescent="0.2">
      <c r="A2">
        <v>1</v>
      </c>
      <c r="C2" t="s">
        <v>576</v>
      </c>
    </row>
    <row r="3" spans="1:3" x14ac:dyDescent="0.2">
      <c r="A3">
        <v>2</v>
      </c>
      <c r="C3" t="s">
        <v>577</v>
      </c>
    </row>
    <row r="4" spans="1:3" x14ac:dyDescent="0.2">
      <c r="A4">
        <v>3</v>
      </c>
      <c r="C4" t="s">
        <v>578</v>
      </c>
    </row>
    <row r="5" spans="1:3" x14ac:dyDescent="0.2">
      <c r="A5">
        <v>4</v>
      </c>
      <c r="C5" t="s">
        <v>579</v>
      </c>
    </row>
    <row r="6" spans="1:3" x14ac:dyDescent="0.2">
      <c r="A6">
        <v>5</v>
      </c>
      <c r="C6" t="s">
        <v>580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9"/>
  <sheetViews>
    <sheetView workbookViewId="0">
      <selection activeCell="A2005" sqref="A2005"/>
    </sheetView>
  </sheetViews>
  <sheetFormatPr defaultColWidth="9.140625" defaultRowHeight="12.75" x14ac:dyDescent="0.2"/>
  <cols>
    <col min="1" max="1" width="20.85546875" bestFit="1" customWidth="1"/>
    <col min="2" max="2" width="19.5703125" bestFit="1" customWidth="1"/>
    <col min="3" max="3" width="21.42578125" bestFit="1" customWidth="1"/>
    <col min="4" max="4" width="20.85546875" bestFit="1" customWidth="1"/>
    <col min="5" max="5" width="22.85546875" bestFit="1" customWidth="1"/>
    <col min="6" max="6" width="19.140625" bestFit="1" customWidth="1"/>
    <col min="7" max="7" width="17.140625" bestFit="1" customWidth="1"/>
    <col min="8" max="8" width="19.140625" bestFit="1" customWidth="1"/>
    <col min="9" max="9" width="15.28515625" bestFit="1" customWidth="1"/>
  </cols>
  <sheetData>
    <row r="1" spans="1:9" x14ac:dyDescent="0.2">
      <c r="A1" t="s">
        <v>381</v>
      </c>
      <c r="B1" t="s">
        <v>397</v>
      </c>
      <c r="C1" t="s">
        <v>356</v>
      </c>
      <c r="D1" t="s">
        <v>342</v>
      </c>
      <c r="E1" t="s">
        <v>261</v>
      </c>
      <c r="F1" t="s">
        <v>200</v>
      </c>
      <c r="G1" t="s">
        <v>366</v>
      </c>
      <c r="H1" t="s">
        <v>425</v>
      </c>
      <c r="I1" t="s">
        <v>52</v>
      </c>
    </row>
    <row r="2" spans="1:9" x14ac:dyDescent="0.2">
      <c r="A2" t="s">
        <v>382</v>
      </c>
      <c r="B2" t="s">
        <v>398</v>
      </c>
      <c r="C2" t="s">
        <v>357</v>
      </c>
      <c r="D2" t="s">
        <v>343</v>
      </c>
      <c r="E2" t="s">
        <v>262</v>
      </c>
      <c r="F2" t="s">
        <v>201</v>
      </c>
      <c r="G2" t="s">
        <v>367</v>
      </c>
      <c r="H2" t="s">
        <v>426</v>
      </c>
      <c r="I2" t="s">
        <v>451</v>
      </c>
    </row>
    <row r="3" spans="1:9" x14ac:dyDescent="0.2">
      <c r="A3" t="s">
        <v>385</v>
      </c>
      <c r="B3" t="s">
        <v>401</v>
      </c>
      <c r="C3" t="s">
        <v>360</v>
      </c>
      <c r="D3" t="s">
        <v>345</v>
      </c>
      <c r="E3" t="s">
        <v>265</v>
      </c>
      <c r="F3" t="s">
        <v>205</v>
      </c>
      <c r="G3" t="s">
        <v>370</v>
      </c>
      <c r="H3" t="s">
        <v>428</v>
      </c>
      <c r="I3" t="s">
        <v>455</v>
      </c>
    </row>
    <row r="4" spans="1:9" x14ac:dyDescent="0.2">
      <c r="A4" t="s">
        <v>388</v>
      </c>
      <c r="B4" t="s">
        <v>404</v>
      </c>
      <c r="C4" t="s">
        <v>167</v>
      </c>
      <c r="D4" t="s">
        <v>407</v>
      </c>
      <c r="E4" t="s">
        <v>268</v>
      </c>
      <c r="F4" t="s">
        <v>209</v>
      </c>
      <c r="G4" t="s">
        <v>372</v>
      </c>
      <c r="H4" t="s">
        <v>431</v>
      </c>
      <c r="I4" t="s">
        <v>458</v>
      </c>
    </row>
    <row r="5" spans="1:9" x14ac:dyDescent="0.2">
      <c r="A5" t="s">
        <v>391</v>
      </c>
      <c r="B5" t="s">
        <v>413</v>
      </c>
      <c r="C5" t="s">
        <v>363</v>
      </c>
      <c r="D5" t="s">
        <v>410</v>
      </c>
      <c r="E5" t="s">
        <v>271</v>
      </c>
      <c r="F5" t="s">
        <v>206</v>
      </c>
      <c r="G5" t="s">
        <v>375</v>
      </c>
      <c r="H5" t="s">
        <v>434</v>
      </c>
      <c r="I5" t="s">
        <v>461</v>
      </c>
    </row>
    <row r="6" spans="1:9" x14ac:dyDescent="0.2">
      <c r="A6" t="s">
        <v>394</v>
      </c>
      <c r="B6" t="s">
        <v>416</v>
      </c>
      <c r="D6" t="s">
        <v>347</v>
      </c>
      <c r="E6" t="s">
        <v>274</v>
      </c>
      <c r="F6" t="s">
        <v>216</v>
      </c>
      <c r="G6" t="s">
        <v>378</v>
      </c>
      <c r="H6" t="s">
        <v>436</v>
      </c>
    </row>
    <row r="7" spans="1:9" x14ac:dyDescent="0.2">
      <c r="B7" t="s">
        <v>418</v>
      </c>
      <c r="D7" t="s">
        <v>350</v>
      </c>
      <c r="E7" t="s">
        <v>278</v>
      </c>
      <c r="F7" t="s">
        <v>219</v>
      </c>
      <c r="H7" t="s">
        <v>438</v>
      </c>
    </row>
    <row r="8" spans="1:9" x14ac:dyDescent="0.2">
      <c r="B8" t="s">
        <v>421</v>
      </c>
      <c r="D8" t="s">
        <v>353</v>
      </c>
      <c r="E8" t="s">
        <v>281</v>
      </c>
      <c r="F8" t="s">
        <v>222</v>
      </c>
      <c r="H8" t="s">
        <v>440</v>
      </c>
    </row>
    <row r="9" spans="1:9" x14ac:dyDescent="0.2">
      <c r="B9" t="s">
        <v>407</v>
      </c>
      <c r="E9" t="s">
        <v>283</v>
      </c>
      <c r="F9" t="s">
        <v>225</v>
      </c>
      <c r="H9" t="s">
        <v>443</v>
      </c>
    </row>
    <row r="10" spans="1:9" x14ac:dyDescent="0.2">
      <c r="B10" t="s">
        <v>410</v>
      </c>
      <c r="E10" t="s">
        <v>287</v>
      </c>
      <c r="F10" t="s">
        <v>228</v>
      </c>
      <c r="H10" t="s">
        <v>445</v>
      </c>
    </row>
    <row r="11" spans="1:9" x14ac:dyDescent="0.2">
      <c r="E11" t="s">
        <v>290</v>
      </c>
      <c r="F11" t="s">
        <v>231</v>
      </c>
      <c r="H11" t="s">
        <v>447</v>
      </c>
    </row>
    <row r="12" spans="1:9" x14ac:dyDescent="0.2">
      <c r="E12" t="s">
        <v>293</v>
      </c>
      <c r="F12" t="s">
        <v>172</v>
      </c>
    </row>
    <row r="13" spans="1:9" x14ac:dyDescent="0.2">
      <c r="E13" t="s">
        <v>295</v>
      </c>
      <c r="F13" t="s">
        <v>238</v>
      </c>
    </row>
    <row r="14" spans="1:9" x14ac:dyDescent="0.2">
      <c r="E14" t="s">
        <v>298</v>
      </c>
      <c r="F14" t="s">
        <v>242</v>
      </c>
    </row>
    <row r="15" spans="1:9" x14ac:dyDescent="0.2">
      <c r="E15" t="s">
        <v>301</v>
      </c>
      <c r="F15" t="s">
        <v>246</v>
      </c>
    </row>
    <row r="16" spans="1:9" x14ac:dyDescent="0.2">
      <c r="E16" t="s">
        <v>305</v>
      </c>
      <c r="F16" t="s">
        <v>249</v>
      </c>
    </row>
    <row r="17" spans="5:6" x14ac:dyDescent="0.2">
      <c r="E17" t="s">
        <v>308</v>
      </c>
      <c r="F17" t="s">
        <v>253</v>
      </c>
    </row>
    <row r="18" spans="5:6" x14ac:dyDescent="0.2">
      <c r="E18" t="s">
        <v>311</v>
      </c>
      <c r="F18" t="s">
        <v>256</v>
      </c>
    </row>
    <row r="19" spans="5:6" x14ac:dyDescent="0.2">
      <c r="E19" t="s">
        <v>313</v>
      </c>
      <c r="F19" t="s">
        <v>259</v>
      </c>
    </row>
    <row r="20" spans="5:6" x14ac:dyDescent="0.2">
      <c r="E20" t="s">
        <v>316</v>
      </c>
    </row>
    <row r="21" spans="5:6" x14ac:dyDescent="0.2">
      <c r="E21" t="s">
        <v>319</v>
      </c>
    </row>
    <row r="22" spans="5:6" x14ac:dyDescent="0.2">
      <c r="E22" t="s">
        <v>322</v>
      </c>
    </row>
    <row r="23" spans="5:6" x14ac:dyDescent="0.2">
      <c r="E23" t="s">
        <v>326</v>
      </c>
    </row>
    <row r="24" spans="5:6" x14ac:dyDescent="0.2">
      <c r="E24" t="s">
        <v>329</v>
      </c>
    </row>
    <row r="25" spans="5:6" x14ac:dyDescent="0.2">
      <c r="E25" t="s">
        <v>332</v>
      </c>
    </row>
    <row r="26" spans="5:6" x14ac:dyDescent="0.2">
      <c r="E26" t="s">
        <v>336</v>
      </c>
    </row>
    <row r="27" spans="5:6" x14ac:dyDescent="0.2">
      <c r="E27" t="s">
        <v>339</v>
      </c>
    </row>
    <row r="2000" spans="1:1" x14ac:dyDescent="0.2">
      <c r="A2000" t="s">
        <v>581</v>
      </c>
    </row>
    <row r="2001" spans="1:1" x14ac:dyDescent="0.2">
      <c r="A2001" t="s">
        <v>381</v>
      </c>
    </row>
    <row r="2002" spans="1:1" x14ac:dyDescent="0.2">
      <c r="A2002" t="s">
        <v>397</v>
      </c>
    </row>
    <row r="2003" spans="1:1" x14ac:dyDescent="0.2">
      <c r="A2003" t="s">
        <v>356</v>
      </c>
    </row>
    <row r="2004" spans="1:1" x14ac:dyDescent="0.2">
      <c r="A2004" t="s">
        <v>342</v>
      </c>
    </row>
    <row r="2005" spans="1:1" x14ac:dyDescent="0.2">
      <c r="A2005" t="s">
        <v>261</v>
      </c>
    </row>
    <row r="2006" spans="1:1" x14ac:dyDescent="0.2">
      <c r="A2006" t="s">
        <v>200</v>
      </c>
    </row>
    <row r="2007" spans="1:1" x14ac:dyDescent="0.2">
      <c r="A2007" t="s">
        <v>366</v>
      </c>
    </row>
    <row r="2008" spans="1:1" x14ac:dyDescent="0.2">
      <c r="A2008" t="s">
        <v>425</v>
      </c>
    </row>
    <row r="2009" spans="1:1" x14ac:dyDescent="0.2">
      <c r="A2009" t="s">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M5"/>
  <sheetViews>
    <sheetView workbookViewId="0"/>
  </sheetViews>
  <sheetFormatPr defaultColWidth="9.140625" defaultRowHeight="12.75" x14ac:dyDescent="0.2"/>
  <sheetData>
    <row r="1" spans="1:91"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53</v>
      </c>
      <c r="BE1" t="s">
        <v>404</v>
      </c>
      <c r="BF1" t="s">
        <v>313</v>
      </c>
      <c r="BG1" t="s">
        <v>271</v>
      </c>
      <c r="BH1" t="s">
        <v>445</v>
      </c>
      <c r="BI1" t="s">
        <v>422</v>
      </c>
      <c r="BJ1" t="s">
        <v>259</v>
      </c>
      <c r="BK1" t="s">
        <v>347</v>
      </c>
      <c r="BL1" t="s">
        <v>322</v>
      </c>
      <c r="BM1" t="s">
        <v>290</v>
      </c>
      <c r="BN1" t="s">
        <v>431</v>
      </c>
      <c r="BO1" t="s">
        <v>413</v>
      </c>
      <c r="BP1" t="s">
        <v>367</v>
      </c>
      <c r="BQ1" t="s">
        <v>382</v>
      </c>
      <c r="BR1" t="s">
        <v>316</v>
      </c>
      <c r="BS1" t="s">
        <v>242</v>
      </c>
      <c r="BT1" t="s">
        <v>246</v>
      </c>
      <c r="BU1" t="s">
        <v>268</v>
      </c>
      <c r="BV1" t="s">
        <v>443</v>
      </c>
      <c r="BW1" t="s">
        <v>451</v>
      </c>
      <c r="BX1" t="s">
        <v>172</v>
      </c>
      <c r="BY1" t="s">
        <v>353</v>
      </c>
      <c r="BZ1" t="s">
        <v>51</v>
      </c>
      <c r="CA1" t="s">
        <v>52</v>
      </c>
      <c r="CB1" t="s">
        <v>308</v>
      </c>
      <c r="CC1" t="s">
        <v>249</v>
      </c>
      <c r="CD1" t="s">
        <v>231</v>
      </c>
      <c r="CE1" t="s">
        <v>416</v>
      </c>
      <c r="CF1" t="s">
        <v>278</v>
      </c>
      <c r="CG1" t="s">
        <v>375</v>
      </c>
      <c r="CH1" t="s">
        <v>421</v>
      </c>
      <c r="CI1" t="s">
        <v>388</v>
      </c>
      <c r="CJ1" t="s">
        <v>461</v>
      </c>
      <c r="CK1" t="s">
        <v>274</v>
      </c>
      <c r="CL1" t="s">
        <v>238</v>
      </c>
      <c r="CM1" t="s">
        <v>350</v>
      </c>
    </row>
    <row r="2" spans="1:91" x14ac:dyDescent="0.2">
      <c r="A2" t="s">
        <v>582</v>
      </c>
      <c r="B2" t="s">
        <v>583</v>
      </c>
      <c r="C2" t="s">
        <v>412</v>
      </c>
      <c r="D2" t="s">
        <v>584</v>
      </c>
      <c r="E2" t="s">
        <v>52</v>
      </c>
      <c r="F2" t="s">
        <v>585</v>
      </c>
      <c r="G2" t="s">
        <v>586</v>
      </c>
      <c r="H2" t="s">
        <v>587</v>
      </c>
      <c r="I2" t="s">
        <v>588</v>
      </c>
      <c r="J2" t="s">
        <v>589</v>
      </c>
      <c r="K2" t="s">
        <v>590</v>
      </c>
      <c r="L2" t="s">
        <v>591</v>
      </c>
      <c r="M2" t="s">
        <v>592</v>
      </c>
      <c r="N2" t="s">
        <v>593</v>
      </c>
      <c r="O2" t="s">
        <v>594</v>
      </c>
      <c r="P2" t="s">
        <v>595</v>
      </c>
      <c r="Q2" t="s">
        <v>596</v>
      </c>
      <c r="R2" t="s">
        <v>597</v>
      </c>
      <c r="S2" t="s">
        <v>598</v>
      </c>
      <c r="T2" t="s">
        <v>599</v>
      </c>
      <c r="U2" t="s">
        <v>600</v>
      </c>
      <c r="V2" t="s">
        <v>601</v>
      </c>
      <c r="W2" t="s">
        <v>602</v>
      </c>
      <c r="X2" t="s">
        <v>603</v>
      </c>
      <c r="Y2" t="s">
        <v>604</v>
      </c>
      <c r="Z2" t="s">
        <v>605</v>
      </c>
      <c r="AA2" t="s">
        <v>583</v>
      </c>
      <c r="AB2" t="s">
        <v>606</v>
      </c>
      <c r="AC2" t="s">
        <v>607</v>
      </c>
      <c r="AD2" t="s">
        <v>587</v>
      </c>
      <c r="AE2" t="s">
        <v>608</v>
      </c>
      <c r="AF2" t="s">
        <v>609</v>
      </c>
      <c r="AG2" t="s">
        <v>610</v>
      </c>
      <c r="AH2" t="s">
        <v>611</v>
      </c>
      <c r="AI2" t="s">
        <v>612</v>
      </c>
      <c r="AJ2" t="s">
        <v>613</v>
      </c>
      <c r="AK2" t="s">
        <v>614</v>
      </c>
      <c r="AL2" t="s">
        <v>615</v>
      </c>
      <c r="AM2" t="s">
        <v>616</v>
      </c>
      <c r="AN2" t="s">
        <v>617</v>
      </c>
      <c r="AO2" t="s">
        <v>618</v>
      </c>
      <c r="AP2" t="s">
        <v>613</v>
      </c>
      <c r="AQ2" t="s">
        <v>619</v>
      </c>
      <c r="AR2" t="s">
        <v>620</v>
      </c>
      <c r="AS2" t="s">
        <v>593</v>
      </c>
      <c r="AT2" t="s">
        <v>621</v>
      </c>
      <c r="AU2" t="s">
        <v>607</v>
      </c>
      <c r="AV2" t="s">
        <v>622</v>
      </c>
      <c r="AW2" t="s">
        <v>605</v>
      </c>
      <c r="AX2" t="s">
        <v>623</v>
      </c>
      <c r="AY2" t="s">
        <v>624</v>
      </c>
      <c r="AZ2" t="s">
        <v>625</v>
      </c>
      <c r="BA2" t="s">
        <v>397</v>
      </c>
      <c r="BB2" t="s">
        <v>626</v>
      </c>
      <c r="BC2" t="s">
        <v>627</v>
      </c>
      <c r="BD2" t="s">
        <v>265</v>
      </c>
      <c r="BE2" t="s">
        <v>628</v>
      </c>
      <c r="BF2" t="s">
        <v>629</v>
      </c>
      <c r="BG2" t="s">
        <v>630</v>
      </c>
      <c r="BH2" t="s">
        <v>631</v>
      </c>
      <c r="BI2" t="s">
        <v>632</v>
      </c>
      <c r="BJ2" t="s">
        <v>633</v>
      </c>
      <c r="BK2" t="s">
        <v>634</v>
      </c>
      <c r="BL2" t="s">
        <v>635</v>
      </c>
      <c r="BM2" t="s">
        <v>636</v>
      </c>
      <c r="BN2" t="s">
        <v>637</v>
      </c>
      <c r="BO2" t="s">
        <v>415</v>
      </c>
      <c r="BP2" t="s">
        <v>638</v>
      </c>
      <c r="BQ2" t="s">
        <v>639</v>
      </c>
      <c r="BR2" t="s">
        <v>640</v>
      </c>
      <c r="BS2" t="s">
        <v>641</v>
      </c>
      <c r="BT2" t="s">
        <v>642</v>
      </c>
      <c r="BU2" t="s">
        <v>643</v>
      </c>
      <c r="BV2" t="s">
        <v>637</v>
      </c>
      <c r="BW2" t="s">
        <v>644</v>
      </c>
      <c r="BX2" t="s">
        <v>645</v>
      </c>
      <c r="BY2" t="s">
        <v>640</v>
      </c>
      <c r="BZ2" t="s">
        <v>271</v>
      </c>
      <c r="CA2" t="s">
        <v>268</v>
      </c>
      <c r="CB2" t="s">
        <v>646</v>
      </c>
      <c r="CC2" t="s">
        <v>647</v>
      </c>
      <c r="CD2" t="s">
        <v>648</v>
      </c>
      <c r="CE2" t="s">
        <v>397</v>
      </c>
      <c r="CF2" t="s">
        <v>649</v>
      </c>
      <c r="CG2" t="s">
        <v>650</v>
      </c>
      <c r="CH2" t="s">
        <v>628</v>
      </c>
      <c r="CI2" t="s">
        <v>651</v>
      </c>
      <c r="CJ2" t="s">
        <v>652</v>
      </c>
      <c r="CK2" t="s">
        <v>653</v>
      </c>
      <c r="CL2" t="s">
        <v>654</v>
      </c>
      <c r="CM2" t="s">
        <v>628</v>
      </c>
    </row>
    <row r="3" spans="1:91" x14ac:dyDescent="0.2">
      <c r="A3" t="s">
        <v>655</v>
      </c>
      <c r="B3" t="s">
        <v>656</v>
      </c>
      <c r="D3" t="s">
        <v>657</v>
      </c>
      <c r="E3" t="s">
        <v>658</v>
      </c>
      <c r="F3" t="s">
        <v>659</v>
      </c>
      <c r="G3" t="s">
        <v>660</v>
      </c>
      <c r="H3" t="s">
        <v>605</v>
      </c>
      <c r="I3" t="s">
        <v>661</v>
      </c>
      <c r="J3" t="s">
        <v>662</v>
      </c>
      <c r="K3" t="s">
        <v>663</v>
      </c>
      <c r="L3" t="s">
        <v>664</v>
      </c>
      <c r="M3" t="s">
        <v>655</v>
      </c>
      <c r="N3" t="s">
        <v>665</v>
      </c>
      <c r="O3" t="s">
        <v>666</v>
      </c>
      <c r="P3" t="s">
        <v>667</v>
      </c>
      <c r="Q3" t="s">
        <v>668</v>
      </c>
      <c r="R3" t="s">
        <v>669</v>
      </c>
      <c r="S3" t="s">
        <v>670</v>
      </c>
      <c r="T3" t="s">
        <v>671</v>
      </c>
      <c r="U3" t="s">
        <v>672</v>
      </c>
      <c r="V3" t="s">
        <v>673</v>
      </c>
      <c r="W3" t="s">
        <v>674</v>
      </c>
      <c r="X3" t="s">
        <v>675</v>
      </c>
      <c r="Y3" t="s">
        <v>676</v>
      </c>
      <c r="Z3" t="s">
        <v>677</v>
      </c>
      <c r="AA3" t="s">
        <v>678</v>
      </c>
      <c r="AB3" t="s">
        <v>679</v>
      </c>
      <c r="AC3" t="s">
        <v>655</v>
      </c>
      <c r="AD3" t="s">
        <v>680</v>
      </c>
      <c r="AE3" t="s">
        <v>681</v>
      </c>
      <c r="AG3" t="s">
        <v>682</v>
      </c>
      <c r="AH3" t="s">
        <v>683</v>
      </c>
      <c r="AI3" t="s">
        <v>684</v>
      </c>
      <c r="AJ3" t="s">
        <v>685</v>
      </c>
      <c r="AK3" t="s">
        <v>686</v>
      </c>
      <c r="AL3" t="s">
        <v>687</v>
      </c>
      <c r="AM3" t="s">
        <v>688</v>
      </c>
      <c r="AN3" t="s">
        <v>689</v>
      </c>
      <c r="AO3" t="s">
        <v>690</v>
      </c>
      <c r="AP3" t="s">
        <v>691</v>
      </c>
      <c r="AQ3" t="s">
        <v>692</v>
      </c>
      <c r="AR3" t="s">
        <v>693</v>
      </c>
      <c r="AS3" t="s">
        <v>694</v>
      </c>
      <c r="AT3" t="s">
        <v>695</v>
      </c>
      <c r="AU3" t="s">
        <v>682</v>
      </c>
      <c r="AV3" t="s">
        <v>696</v>
      </c>
      <c r="AW3" t="s">
        <v>697</v>
      </c>
      <c r="AX3" t="s">
        <v>684</v>
      </c>
      <c r="AY3" t="s">
        <v>698</v>
      </c>
      <c r="AZ3" t="s">
        <v>699</v>
      </c>
      <c r="BA3" t="s">
        <v>700</v>
      </c>
      <c r="BB3" t="s">
        <v>701</v>
      </c>
      <c r="BC3" t="s">
        <v>669</v>
      </c>
      <c r="BE3" t="s">
        <v>681</v>
      </c>
      <c r="BF3" t="s">
        <v>702</v>
      </c>
      <c r="BG3" t="s">
        <v>703</v>
      </c>
      <c r="BH3" t="s">
        <v>682</v>
      </c>
      <c r="BI3" t="s">
        <v>660</v>
      </c>
      <c r="BJ3" t="s">
        <v>605</v>
      </c>
      <c r="BK3" t="s">
        <v>704</v>
      </c>
      <c r="BL3" t="s">
        <v>705</v>
      </c>
      <c r="BM3" t="s">
        <v>706</v>
      </c>
      <c r="BN3" t="s">
        <v>707</v>
      </c>
      <c r="BP3" t="s">
        <v>708</v>
      </c>
      <c r="BQ3" t="s">
        <v>709</v>
      </c>
      <c r="BR3" t="s">
        <v>710</v>
      </c>
      <c r="BS3" t="s">
        <v>711</v>
      </c>
      <c r="BT3" t="s">
        <v>712</v>
      </c>
      <c r="BU3" t="s">
        <v>713</v>
      </c>
      <c r="BV3" t="s">
        <v>714</v>
      </c>
      <c r="BW3" t="s">
        <v>658</v>
      </c>
      <c r="BX3" t="s">
        <v>715</v>
      </c>
      <c r="BY3" t="s">
        <v>716</v>
      </c>
      <c r="CB3" t="s">
        <v>717</v>
      </c>
      <c r="CC3" t="s">
        <v>718</v>
      </c>
      <c r="CD3" t="s">
        <v>672</v>
      </c>
      <c r="CE3" t="s">
        <v>719</v>
      </c>
      <c r="CF3" t="s">
        <v>720</v>
      </c>
      <c r="CG3" t="s">
        <v>669</v>
      </c>
      <c r="CH3" t="s">
        <v>681</v>
      </c>
      <c r="CI3" t="s">
        <v>672</v>
      </c>
      <c r="CJ3" t="s">
        <v>721</v>
      </c>
      <c r="CK3" t="s">
        <v>722</v>
      </c>
      <c r="CL3" t="s">
        <v>723</v>
      </c>
      <c r="CM3" t="s">
        <v>724</v>
      </c>
    </row>
    <row r="4" spans="1:91" x14ac:dyDescent="0.2">
      <c r="A4" t="s">
        <v>725</v>
      </c>
      <c r="B4" t="s">
        <v>726</v>
      </c>
      <c r="D4" t="s">
        <v>719</v>
      </c>
      <c r="F4" t="s">
        <v>727</v>
      </c>
      <c r="H4" t="s">
        <v>728</v>
      </c>
      <c r="L4" t="s">
        <v>719</v>
      </c>
      <c r="M4" t="s">
        <v>729</v>
      </c>
      <c r="N4" t="s">
        <v>730</v>
      </c>
      <c r="O4" t="s">
        <v>731</v>
      </c>
      <c r="R4" t="s">
        <v>732</v>
      </c>
      <c r="S4" t="s">
        <v>733</v>
      </c>
      <c r="T4" t="s">
        <v>734</v>
      </c>
      <c r="U4" t="s">
        <v>735</v>
      </c>
      <c r="V4" t="s">
        <v>736</v>
      </c>
      <c r="Z4" t="s">
        <v>737</v>
      </c>
      <c r="AG4" t="s">
        <v>738</v>
      </c>
      <c r="AI4" t="s">
        <v>739</v>
      </c>
      <c r="AL4" t="s">
        <v>740</v>
      </c>
      <c r="AM4" t="s">
        <v>741</v>
      </c>
      <c r="AN4" t="s">
        <v>682</v>
      </c>
      <c r="AT4" t="s">
        <v>660</v>
      </c>
      <c r="AW4" t="s">
        <v>742</v>
      </c>
      <c r="BB4" t="s">
        <v>682</v>
      </c>
      <c r="BC4" t="s">
        <v>678</v>
      </c>
      <c r="BI4" t="s">
        <v>743</v>
      </c>
      <c r="BJ4" t="s">
        <v>744</v>
      </c>
      <c r="BL4" t="s">
        <v>745</v>
      </c>
      <c r="BS4" t="s">
        <v>746</v>
      </c>
      <c r="BT4" t="s">
        <v>747</v>
      </c>
      <c r="BX4" t="s">
        <v>748</v>
      </c>
      <c r="CC4" t="s">
        <v>749</v>
      </c>
      <c r="CD4" t="s">
        <v>750</v>
      </c>
      <c r="CK4" t="s">
        <v>672</v>
      </c>
      <c r="CL4" t="s">
        <v>751</v>
      </c>
    </row>
    <row r="5" spans="1:91" x14ac:dyDescent="0.2">
      <c r="H5" t="s">
        <v>752</v>
      </c>
      <c r="L5" t="s">
        <v>605</v>
      </c>
      <c r="M5" t="s">
        <v>753</v>
      </c>
      <c r="R5" t="s">
        <v>754</v>
      </c>
      <c r="S5" t="s">
        <v>755</v>
      </c>
      <c r="V5" t="s">
        <v>756</v>
      </c>
      <c r="CK5" t="s">
        <v>719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2"/>
  <sheetViews>
    <sheetView workbookViewId="0"/>
  </sheetViews>
  <sheetFormatPr defaultColWidth="9.140625" defaultRowHeight="12.75" x14ac:dyDescent="0.2"/>
  <sheetData>
    <row r="1" spans="1:2" x14ac:dyDescent="0.2">
      <c r="A1" t="s">
        <v>14</v>
      </c>
      <c r="B1" t="s">
        <v>757</v>
      </c>
    </row>
    <row r="2" spans="1:2" x14ac:dyDescent="0.2">
      <c r="A2" t="s">
        <v>219</v>
      </c>
      <c r="B2" t="s">
        <v>758</v>
      </c>
    </row>
    <row r="3" spans="1:2" x14ac:dyDescent="0.2">
      <c r="A3" t="s">
        <v>319</v>
      </c>
      <c r="B3" t="s">
        <v>759</v>
      </c>
    </row>
    <row r="4" spans="1:2" x14ac:dyDescent="0.2">
      <c r="A4" t="s">
        <v>410</v>
      </c>
      <c r="B4" t="s">
        <v>760</v>
      </c>
    </row>
    <row r="5" spans="1:2" x14ac:dyDescent="0.2">
      <c r="A5" t="s">
        <v>336</v>
      </c>
      <c r="B5" t="s">
        <v>761</v>
      </c>
    </row>
    <row r="6" spans="1:2" x14ac:dyDescent="0.2">
      <c r="A6" t="s">
        <v>458</v>
      </c>
      <c r="B6" t="s">
        <v>762</v>
      </c>
    </row>
    <row r="7" spans="1:2" x14ac:dyDescent="0.2">
      <c r="A7" t="s">
        <v>256</v>
      </c>
      <c r="B7" t="s">
        <v>763</v>
      </c>
    </row>
    <row r="8" spans="1:2" x14ac:dyDescent="0.2">
      <c r="A8" t="s">
        <v>391</v>
      </c>
      <c r="B8" t="s">
        <v>764</v>
      </c>
    </row>
    <row r="9" spans="1:2" x14ac:dyDescent="0.2">
      <c r="A9" t="s">
        <v>206</v>
      </c>
      <c r="B9" t="s">
        <v>765</v>
      </c>
    </row>
    <row r="10" spans="1:2" x14ac:dyDescent="0.2">
      <c r="A10" t="s">
        <v>167</v>
      </c>
      <c r="B10" t="s">
        <v>766</v>
      </c>
    </row>
    <row r="11" spans="1:2" x14ac:dyDescent="0.2">
      <c r="A11" t="s">
        <v>418</v>
      </c>
      <c r="B11" t="s">
        <v>767</v>
      </c>
    </row>
    <row r="12" spans="1:2" x14ac:dyDescent="0.2">
      <c r="A12" t="s">
        <v>447</v>
      </c>
      <c r="B12" t="s">
        <v>768</v>
      </c>
    </row>
    <row r="13" spans="1:2" x14ac:dyDescent="0.2">
      <c r="A13" t="s">
        <v>216</v>
      </c>
      <c r="B13" t="s">
        <v>769</v>
      </c>
    </row>
    <row r="14" spans="1:2" x14ac:dyDescent="0.2">
      <c r="A14" t="s">
        <v>201</v>
      </c>
      <c r="B14" t="s">
        <v>770</v>
      </c>
    </row>
    <row r="15" spans="1:2" x14ac:dyDescent="0.2">
      <c r="A15" t="s">
        <v>287</v>
      </c>
      <c r="B15" t="s">
        <v>771</v>
      </c>
    </row>
    <row r="16" spans="1:2" x14ac:dyDescent="0.2">
      <c r="A16" t="s">
        <v>298</v>
      </c>
      <c r="B16" t="s">
        <v>772</v>
      </c>
    </row>
    <row r="17" spans="1:2" x14ac:dyDescent="0.2">
      <c r="A17" t="s">
        <v>332</v>
      </c>
      <c r="B17" t="s">
        <v>773</v>
      </c>
    </row>
    <row r="18" spans="1:2" x14ac:dyDescent="0.2">
      <c r="A18" t="s">
        <v>363</v>
      </c>
      <c r="B18" t="s">
        <v>774</v>
      </c>
    </row>
    <row r="19" spans="1:2" x14ac:dyDescent="0.2">
      <c r="A19" t="s">
        <v>225</v>
      </c>
      <c r="B19" t="s">
        <v>775</v>
      </c>
    </row>
    <row r="20" spans="1:2" x14ac:dyDescent="0.2">
      <c r="A20" t="s">
        <v>205</v>
      </c>
      <c r="B20" t="s">
        <v>776</v>
      </c>
    </row>
    <row r="21" spans="1:2" x14ac:dyDescent="0.2">
      <c r="A21" t="s">
        <v>209</v>
      </c>
      <c r="B21" t="s">
        <v>777</v>
      </c>
    </row>
    <row r="22" spans="1:2" x14ac:dyDescent="0.2">
      <c r="A22" t="s">
        <v>265</v>
      </c>
      <c r="B22" t="s">
        <v>778</v>
      </c>
    </row>
    <row r="23" spans="1:2" x14ac:dyDescent="0.2">
      <c r="A23" t="s">
        <v>262</v>
      </c>
      <c r="B23" t="s">
        <v>779</v>
      </c>
    </row>
    <row r="24" spans="1:2" x14ac:dyDescent="0.2">
      <c r="A24" t="s">
        <v>326</v>
      </c>
      <c r="B24" t="s">
        <v>780</v>
      </c>
    </row>
    <row r="25" spans="1:2" x14ac:dyDescent="0.2">
      <c r="A25" t="s">
        <v>385</v>
      </c>
      <c r="B25" t="s">
        <v>781</v>
      </c>
    </row>
    <row r="26" spans="1:2" x14ac:dyDescent="0.2">
      <c r="A26" t="s">
        <v>360</v>
      </c>
      <c r="B26" t="s">
        <v>782</v>
      </c>
    </row>
    <row r="27" spans="1:2" x14ac:dyDescent="0.2">
      <c r="A27" t="s">
        <v>357</v>
      </c>
      <c r="B27" t="s">
        <v>783</v>
      </c>
    </row>
    <row r="28" spans="1:2" x14ac:dyDescent="0.2">
      <c r="A28" t="s">
        <v>394</v>
      </c>
      <c r="B28" t="s">
        <v>784</v>
      </c>
    </row>
    <row r="29" spans="1:2" x14ac:dyDescent="0.2">
      <c r="A29" t="s">
        <v>434</v>
      </c>
      <c r="B29" t="s">
        <v>785</v>
      </c>
    </row>
    <row r="30" spans="1:2" x14ac:dyDescent="0.2">
      <c r="A30" t="s">
        <v>343</v>
      </c>
      <c r="B30" t="s">
        <v>786</v>
      </c>
    </row>
    <row r="31" spans="1:2" x14ac:dyDescent="0.2">
      <c r="A31" t="s">
        <v>455</v>
      </c>
      <c r="B31" t="s">
        <v>787</v>
      </c>
    </row>
    <row r="32" spans="1:2" x14ac:dyDescent="0.2">
      <c r="A32" t="s">
        <v>401</v>
      </c>
      <c r="B32" t="s">
        <v>788</v>
      </c>
    </row>
    <row r="33" spans="1:2" x14ac:dyDescent="0.2">
      <c r="A33" t="s">
        <v>465</v>
      </c>
      <c r="B33" t="s">
        <v>789</v>
      </c>
    </row>
    <row r="34" spans="1:2" x14ac:dyDescent="0.2">
      <c r="A34" t="s">
        <v>283</v>
      </c>
      <c r="B34" t="s">
        <v>790</v>
      </c>
    </row>
    <row r="35" spans="1:2" x14ac:dyDescent="0.2">
      <c r="A35" t="s">
        <v>438</v>
      </c>
      <c r="B35" t="s">
        <v>791</v>
      </c>
    </row>
    <row r="36" spans="1:2" x14ac:dyDescent="0.2">
      <c r="A36" t="s">
        <v>222</v>
      </c>
      <c r="B36" t="s">
        <v>792</v>
      </c>
    </row>
    <row r="37" spans="1:2" x14ac:dyDescent="0.2">
      <c r="A37" t="s">
        <v>370</v>
      </c>
      <c r="B37" t="s">
        <v>793</v>
      </c>
    </row>
    <row r="38" spans="1:2" x14ac:dyDescent="0.2">
      <c r="A38" t="s">
        <v>372</v>
      </c>
      <c r="B38" t="s">
        <v>794</v>
      </c>
    </row>
    <row r="39" spans="1:2" x14ac:dyDescent="0.2">
      <c r="A39" t="s">
        <v>301</v>
      </c>
      <c r="B39" t="s">
        <v>795</v>
      </c>
    </row>
    <row r="40" spans="1:2" x14ac:dyDescent="0.2">
      <c r="A40" t="s">
        <v>339</v>
      </c>
      <c r="B40" t="s">
        <v>796</v>
      </c>
    </row>
    <row r="41" spans="1:2" x14ac:dyDescent="0.2">
      <c r="A41" t="s">
        <v>426</v>
      </c>
      <c r="B41" t="s">
        <v>797</v>
      </c>
    </row>
    <row r="42" spans="1:2" x14ac:dyDescent="0.2">
      <c r="A42" t="s">
        <v>311</v>
      </c>
      <c r="B42" t="s">
        <v>798</v>
      </c>
    </row>
    <row r="43" spans="1:2" x14ac:dyDescent="0.2">
      <c r="A43" t="s">
        <v>345</v>
      </c>
      <c r="B43" t="s">
        <v>799</v>
      </c>
    </row>
    <row r="44" spans="1:2" x14ac:dyDescent="0.2">
      <c r="A44" t="s">
        <v>295</v>
      </c>
      <c r="B44" t="s">
        <v>800</v>
      </c>
    </row>
    <row r="45" spans="1:2" x14ac:dyDescent="0.2">
      <c r="A45" t="s">
        <v>329</v>
      </c>
      <c r="B45" t="s">
        <v>801</v>
      </c>
    </row>
    <row r="46" spans="1:2" x14ac:dyDescent="0.2">
      <c r="A46" t="s">
        <v>436</v>
      </c>
      <c r="B46" t="s">
        <v>802</v>
      </c>
    </row>
    <row r="47" spans="1:2" x14ac:dyDescent="0.2">
      <c r="A47" t="s">
        <v>253</v>
      </c>
      <c r="B47" t="s">
        <v>803</v>
      </c>
    </row>
    <row r="48" spans="1:2" x14ac:dyDescent="0.2">
      <c r="A48" t="s">
        <v>440</v>
      </c>
      <c r="B48" t="s">
        <v>804</v>
      </c>
    </row>
    <row r="49" spans="1:2" x14ac:dyDescent="0.2">
      <c r="A49" t="s">
        <v>398</v>
      </c>
      <c r="B49" t="s">
        <v>805</v>
      </c>
    </row>
    <row r="50" spans="1:2" x14ac:dyDescent="0.2">
      <c r="A50" t="s">
        <v>228</v>
      </c>
      <c r="B50" t="s">
        <v>806</v>
      </c>
    </row>
    <row r="51" spans="1:2" x14ac:dyDescent="0.2">
      <c r="A51" t="s">
        <v>293</v>
      </c>
      <c r="B51" t="s">
        <v>807</v>
      </c>
    </row>
    <row r="52" spans="1:2" x14ac:dyDescent="0.2">
      <c r="A52" t="s">
        <v>428</v>
      </c>
      <c r="B52" t="s">
        <v>808</v>
      </c>
    </row>
    <row r="53" spans="1:2" x14ac:dyDescent="0.2">
      <c r="A53" t="s">
        <v>378</v>
      </c>
      <c r="B53" t="s">
        <v>809</v>
      </c>
    </row>
    <row r="54" spans="1:2" x14ac:dyDescent="0.2">
      <c r="A54" t="s">
        <v>407</v>
      </c>
      <c r="B54" t="s">
        <v>810</v>
      </c>
    </row>
    <row r="55" spans="1:2" x14ac:dyDescent="0.2">
      <c r="A55" t="s">
        <v>305</v>
      </c>
      <c r="B55" t="s">
        <v>811</v>
      </c>
    </row>
    <row r="56" spans="1:2" x14ac:dyDescent="0.2">
      <c r="A56" t="s">
        <v>281</v>
      </c>
      <c r="B56" t="s">
        <v>812</v>
      </c>
    </row>
    <row r="57" spans="1:2" x14ac:dyDescent="0.2">
      <c r="A57" t="s">
        <v>53</v>
      </c>
      <c r="B57" t="s">
        <v>813</v>
      </c>
    </row>
    <row r="58" spans="1:2" x14ac:dyDescent="0.2">
      <c r="A58" t="s">
        <v>404</v>
      </c>
      <c r="B58" t="s">
        <v>814</v>
      </c>
    </row>
    <row r="59" spans="1:2" x14ac:dyDescent="0.2">
      <c r="A59" t="s">
        <v>313</v>
      </c>
      <c r="B59" t="s">
        <v>815</v>
      </c>
    </row>
    <row r="60" spans="1:2" x14ac:dyDescent="0.2">
      <c r="A60" t="s">
        <v>271</v>
      </c>
      <c r="B60" t="s">
        <v>816</v>
      </c>
    </row>
    <row r="61" spans="1:2" x14ac:dyDescent="0.2">
      <c r="A61" t="s">
        <v>445</v>
      </c>
      <c r="B61" t="s">
        <v>817</v>
      </c>
    </row>
    <row r="62" spans="1:2" x14ac:dyDescent="0.2">
      <c r="A62" t="s">
        <v>422</v>
      </c>
      <c r="B62" t="s">
        <v>818</v>
      </c>
    </row>
    <row r="63" spans="1:2" x14ac:dyDescent="0.2">
      <c r="A63" t="s">
        <v>259</v>
      </c>
      <c r="B63" t="s">
        <v>819</v>
      </c>
    </row>
    <row r="64" spans="1:2" x14ac:dyDescent="0.2">
      <c r="A64" t="s">
        <v>347</v>
      </c>
      <c r="B64" t="s">
        <v>820</v>
      </c>
    </row>
    <row r="65" spans="1:2" x14ac:dyDescent="0.2">
      <c r="A65" t="s">
        <v>322</v>
      </c>
      <c r="B65" t="s">
        <v>821</v>
      </c>
    </row>
    <row r="66" spans="1:2" x14ac:dyDescent="0.2">
      <c r="A66" t="s">
        <v>290</v>
      </c>
      <c r="B66" t="s">
        <v>822</v>
      </c>
    </row>
    <row r="67" spans="1:2" x14ac:dyDescent="0.2">
      <c r="A67" t="s">
        <v>431</v>
      </c>
      <c r="B67" t="s">
        <v>823</v>
      </c>
    </row>
    <row r="68" spans="1:2" x14ac:dyDescent="0.2">
      <c r="A68" t="s">
        <v>413</v>
      </c>
      <c r="B68" t="s">
        <v>824</v>
      </c>
    </row>
    <row r="69" spans="1:2" x14ac:dyDescent="0.2">
      <c r="A69" t="s">
        <v>367</v>
      </c>
      <c r="B69" t="s">
        <v>825</v>
      </c>
    </row>
    <row r="70" spans="1:2" x14ac:dyDescent="0.2">
      <c r="A70" t="s">
        <v>382</v>
      </c>
      <c r="B70" t="s">
        <v>826</v>
      </c>
    </row>
    <row r="71" spans="1:2" x14ac:dyDescent="0.2">
      <c r="A71" t="s">
        <v>316</v>
      </c>
      <c r="B71" t="s">
        <v>827</v>
      </c>
    </row>
    <row r="72" spans="1:2" x14ac:dyDescent="0.2">
      <c r="A72" t="s">
        <v>242</v>
      </c>
      <c r="B72" t="s">
        <v>828</v>
      </c>
    </row>
    <row r="73" spans="1:2" x14ac:dyDescent="0.2">
      <c r="A73" t="s">
        <v>246</v>
      </c>
      <c r="B73" t="s">
        <v>829</v>
      </c>
    </row>
    <row r="74" spans="1:2" x14ac:dyDescent="0.2">
      <c r="A74" t="s">
        <v>268</v>
      </c>
      <c r="B74" t="s">
        <v>830</v>
      </c>
    </row>
    <row r="75" spans="1:2" x14ac:dyDescent="0.2">
      <c r="A75" t="s">
        <v>443</v>
      </c>
      <c r="B75" t="s">
        <v>831</v>
      </c>
    </row>
    <row r="76" spans="1:2" x14ac:dyDescent="0.2">
      <c r="A76" t="s">
        <v>451</v>
      </c>
      <c r="B76" t="s">
        <v>832</v>
      </c>
    </row>
    <row r="77" spans="1:2" x14ac:dyDescent="0.2">
      <c r="A77" t="s">
        <v>172</v>
      </c>
      <c r="B77" t="s">
        <v>833</v>
      </c>
    </row>
    <row r="78" spans="1:2" x14ac:dyDescent="0.2">
      <c r="A78" t="s">
        <v>353</v>
      </c>
      <c r="B78" t="s">
        <v>834</v>
      </c>
    </row>
    <row r="79" spans="1:2" x14ac:dyDescent="0.2">
      <c r="A79" t="s">
        <v>51</v>
      </c>
      <c r="B79" t="s">
        <v>835</v>
      </c>
    </row>
    <row r="80" spans="1:2" x14ac:dyDescent="0.2">
      <c r="A80" t="s">
        <v>52</v>
      </c>
      <c r="B80" t="s">
        <v>836</v>
      </c>
    </row>
    <row r="81" spans="1:2" x14ac:dyDescent="0.2">
      <c r="A81" t="s">
        <v>308</v>
      </c>
      <c r="B81" t="s">
        <v>837</v>
      </c>
    </row>
    <row r="82" spans="1:2" x14ac:dyDescent="0.2">
      <c r="A82" t="s">
        <v>249</v>
      </c>
      <c r="B82" t="s">
        <v>838</v>
      </c>
    </row>
    <row r="83" spans="1:2" x14ac:dyDescent="0.2">
      <c r="A83" t="s">
        <v>231</v>
      </c>
      <c r="B83" t="s">
        <v>839</v>
      </c>
    </row>
    <row r="84" spans="1:2" x14ac:dyDescent="0.2">
      <c r="A84" t="s">
        <v>416</v>
      </c>
      <c r="B84" t="s">
        <v>840</v>
      </c>
    </row>
    <row r="85" spans="1:2" x14ac:dyDescent="0.2">
      <c r="A85" t="s">
        <v>278</v>
      </c>
      <c r="B85" t="s">
        <v>841</v>
      </c>
    </row>
    <row r="86" spans="1:2" x14ac:dyDescent="0.2">
      <c r="A86" t="s">
        <v>375</v>
      </c>
      <c r="B86" t="s">
        <v>842</v>
      </c>
    </row>
    <row r="87" spans="1:2" x14ac:dyDescent="0.2">
      <c r="A87" t="s">
        <v>421</v>
      </c>
      <c r="B87" t="s">
        <v>843</v>
      </c>
    </row>
    <row r="88" spans="1:2" x14ac:dyDescent="0.2">
      <c r="A88" t="s">
        <v>388</v>
      </c>
      <c r="B88" t="s">
        <v>844</v>
      </c>
    </row>
    <row r="89" spans="1:2" x14ac:dyDescent="0.2">
      <c r="A89" t="s">
        <v>461</v>
      </c>
      <c r="B89" t="s">
        <v>845</v>
      </c>
    </row>
    <row r="90" spans="1:2" x14ac:dyDescent="0.2">
      <c r="A90" t="s">
        <v>274</v>
      </c>
      <c r="B90" t="s">
        <v>846</v>
      </c>
    </row>
    <row r="91" spans="1:2" x14ac:dyDescent="0.2">
      <c r="A91" t="s">
        <v>238</v>
      </c>
      <c r="B91" t="s">
        <v>847</v>
      </c>
    </row>
    <row r="92" spans="1:2" x14ac:dyDescent="0.2">
      <c r="A92" t="s">
        <v>350</v>
      </c>
      <c r="B92" t="s">
        <v>848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5"/>
  <sheetViews>
    <sheetView workbookViewId="0"/>
  </sheetViews>
  <sheetFormatPr defaultColWidth="9.140625" defaultRowHeight="12.75" x14ac:dyDescent="0.2"/>
  <sheetData>
    <row r="1" spans="1:88"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404</v>
      </c>
      <c r="BE1" t="s">
        <v>313</v>
      </c>
      <c r="BF1" t="s">
        <v>271</v>
      </c>
      <c r="BG1" t="s">
        <v>445</v>
      </c>
      <c r="BH1" t="s">
        <v>422</v>
      </c>
      <c r="BI1" t="s">
        <v>259</v>
      </c>
      <c r="BJ1" t="s">
        <v>347</v>
      </c>
      <c r="BK1" t="s">
        <v>322</v>
      </c>
      <c r="BL1" t="s">
        <v>290</v>
      </c>
      <c r="BM1" t="s">
        <v>431</v>
      </c>
      <c r="BN1" t="s">
        <v>413</v>
      </c>
      <c r="BO1" t="s">
        <v>367</v>
      </c>
      <c r="BP1" t="s">
        <v>382</v>
      </c>
      <c r="BQ1" t="s">
        <v>316</v>
      </c>
      <c r="BR1" t="s">
        <v>242</v>
      </c>
      <c r="BS1" t="s">
        <v>246</v>
      </c>
      <c r="BT1" t="s">
        <v>268</v>
      </c>
      <c r="BU1" t="s">
        <v>443</v>
      </c>
      <c r="BV1" t="s">
        <v>451</v>
      </c>
      <c r="BW1" t="s">
        <v>172</v>
      </c>
      <c r="BX1" t="s">
        <v>353</v>
      </c>
      <c r="BY1" t="s">
        <v>308</v>
      </c>
      <c r="BZ1" t="s">
        <v>249</v>
      </c>
      <c r="CA1" t="s">
        <v>231</v>
      </c>
      <c r="CB1" t="s">
        <v>416</v>
      </c>
      <c r="CC1" t="s">
        <v>278</v>
      </c>
      <c r="CD1" t="s">
        <v>375</v>
      </c>
      <c r="CE1" t="s">
        <v>421</v>
      </c>
      <c r="CF1" t="s">
        <v>388</v>
      </c>
      <c r="CG1" t="s">
        <v>461</v>
      </c>
      <c r="CH1" t="s">
        <v>274</v>
      </c>
      <c r="CI1" t="s">
        <v>238</v>
      </c>
      <c r="CJ1" t="s">
        <v>350</v>
      </c>
    </row>
    <row r="2" spans="1:88" x14ac:dyDescent="0.2">
      <c r="A2" t="s">
        <v>618</v>
      </c>
      <c r="B2" t="s">
        <v>618</v>
      </c>
      <c r="C2" t="s">
        <v>618</v>
      </c>
      <c r="D2" t="s">
        <v>618</v>
      </c>
      <c r="E2" t="s">
        <v>849</v>
      </c>
      <c r="F2" t="s">
        <v>618</v>
      </c>
      <c r="G2" t="s">
        <v>618</v>
      </c>
      <c r="H2" t="s">
        <v>618</v>
      </c>
      <c r="I2" t="s">
        <v>850</v>
      </c>
      <c r="J2" t="s">
        <v>618</v>
      </c>
      <c r="K2" t="s">
        <v>851</v>
      </c>
      <c r="L2" t="s">
        <v>618</v>
      </c>
      <c r="M2" t="s">
        <v>852</v>
      </c>
      <c r="N2" t="s">
        <v>853</v>
      </c>
      <c r="O2" t="s">
        <v>854</v>
      </c>
      <c r="P2" t="s">
        <v>855</v>
      </c>
      <c r="Q2" t="s">
        <v>856</v>
      </c>
      <c r="R2" t="s">
        <v>854</v>
      </c>
      <c r="S2" t="s">
        <v>854</v>
      </c>
      <c r="T2" t="s">
        <v>857</v>
      </c>
      <c r="U2" t="s">
        <v>618</v>
      </c>
      <c r="V2" t="s">
        <v>857</v>
      </c>
      <c r="W2" t="s">
        <v>618</v>
      </c>
      <c r="X2" t="s">
        <v>618</v>
      </c>
      <c r="Y2" t="s">
        <v>850</v>
      </c>
      <c r="Z2" t="s">
        <v>850</v>
      </c>
      <c r="AA2" t="s">
        <v>618</v>
      </c>
      <c r="AB2" t="s">
        <v>858</v>
      </c>
      <c r="AC2" t="s">
        <v>852</v>
      </c>
      <c r="AD2" t="s">
        <v>849</v>
      </c>
      <c r="AE2" t="s">
        <v>618</v>
      </c>
      <c r="AF2" t="s">
        <v>859</v>
      </c>
      <c r="AG2" t="s">
        <v>853</v>
      </c>
      <c r="AH2" t="s">
        <v>860</v>
      </c>
      <c r="AI2" t="s">
        <v>618</v>
      </c>
      <c r="AJ2" t="s">
        <v>618</v>
      </c>
      <c r="AK2" t="s">
        <v>618</v>
      </c>
      <c r="AL2" t="s">
        <v>858</v>
      </c>
      <c r="AM2" t="s">
        <v>858</v>
      </c>
      <c r="AN2" t="s">
        <v>853</v>
      </c>
      <c r="AO2" t="s">
        <v>618</v>
      </c>
      <c r="AP2" t="s">
        <v>854</v>
      </c>
      <c r="AQ2" t="s">
        <v>857</v>
      </c>
      <c r="AR2" t="s">
        <v>860</v>
      </c>
      <c r="AS2" t="s">
        <v>618</v>
      </c>
      <c r="AT2" t="s">
        <v>618</v>
      </c>
      <c r="AU2" t="s">
        <v>618</v>
      </c>
      <c r="AV2" t="s">
        <v>618</v>
      </c>
      <c r="AW2" t="s">
        <v>618</v>
      </c>
      <c r="AX2" t="s">
        <v>618</v>
      </c>
      <c r="AY2" t="s">
        <v>858</v>
      </c>
      <c r="AZ2" t="s">
        <v>618</v>
      </c>
      <c r="BA2" t="s">
        <v>618</v>
      </c>
      <c r="BB2" t="s">
        <v>618</v>
      </c>
      <c r="BC2" t="s">
        <v>854</v>
      </c>
      <c r="BD2" t="s">
        <v>618</v>
      </c>
      <c r="BE2" t="s">
        <v>854</v>
      </c>
      <c r="BF2" t="s">
        <v>854</v>
      </c>
      <c r="BG2" t="s">
        <v>618</v>
      </c>
      <c r="BH2" t="s">
        <v>861</v>
      </c>
      <c r="BI2" t="s">
        <v>618</v>
      </c>
      <c r="BJ2" t="s">
        <v>618</v>
      </c>
      <c r="BK2" t="s">
        <v>861</v>
      </c>
      <c r="BL2" t="s">
        <v>618</v>
      </c>
      <c r="BM2" t="s">
        <v>853</v>
      </c>
      <c r="BN2" t="s">
        <v>618</v>
      </c>
      <c r="BO2" t="s">
        <v>618</v>
      </c>
      <c r="BP2" t="s">
        <v>618</v>
      </c>
      <c r="BQ2" t="s">
        <v>618</v>
      </c>
      <c r="BR2" t="s">
        <v>862</v>
      </c>
      <c r="BS2" t="s">
        <v>862</v>
      </c>
      <c r="BT2" t="s">
        <v>618</v>
      </c>
      <c r="BU2" t="s">
        <v>853</v>
      </c>
      <c r="BV2" t="s">
        <v>849</v>
      </c>
      <c r="BW2" t="s">
        <v>237</v>
      </c>
      <c r="BX2" t="s">
        <v>237</v>
      </c>
      <c r="BY2" t="s">
        <v>850</v>
      </c>
      <c r="BZ2" t="s">
        <v>860</v>
      </c>
      <c r="CA2" t="s">
        <v>858</v>
      </c>
      <c r="CB2" t="s">
        <v>618</v>
      </c>
      <c r="CC2" t="s">
        <v>857</v>
      </c>
      <c r="CD2" t="s">
        <v>618</v>
      </c>
      <c r="CE2" t="s">
        <v>618</v>
      </c>
      <c r="CF2" t="s">
        <v>618</v>
      </c>
      <c r="CG2" t="s">
        <v>849</v>
      </c>
      <c r="CH2" t="s">
        <v>863</v>
      </c>
      <c r="CI2" t="s">
        <v>241</v>
      </c>
      <c r="CJ2" t="s">
        <v>241</v>
      </c>
    </row>
    <row r="3" spans="1:88" x14ac:dyDescent="0.2">
      <c r="A3" t="s">
        <v>864</v>
      </c>
      <c r="B3" t="s">
        <v>864</v>
      </c>
      <c r="C3" t="s">
        <v>864</v>
      </c>
      <c r="D3" t="s">
        <v>864</v>
      </c>
      <c r="E3" t="s">
        <v>865</v>
      </c>
      <c r="F3" t="s">
        <v>864</v>
      </c>
      <c r="G3" t="s">
        <v>864</v>
      </c>
      <c r="H3" t="s">
        <v>864</v>
      </c>
      <c r="I3" t="s">
        <v>866</v>
      </c>
      <c r="J3" t="s">
        <v>864</v>
      </c>
      <c r="K3" t="s">
        <v>867</v>
      </c>
      <c r="L3" t="s">
        <v>864</v>
      </c>
      <c r="M3" t="s">
        <v>868</v>
      </c>
      <c r="N3" t="s">
        <v>869</v>
      </c>
      <c r="O3" t="s">
        <v>870</v>
      </c>
      <c r="P3" t="s">
        <v>871</v>
      </c>
      <c r="Q3" t="s">
        <v>872</v>
      </c>
      <c r="R3" t="s">
        <v>870</v>
      </c>
      <c r="S3" t="s">
        <v>870</v>
      </c>
      <c r="T3" t="s">
        <v>873</v>
      </c>
      <c r="U3" t="s">
        <v>864</v>
      </c>
      <c r="V3" t="s">
        <v>873</v>
      </c>
      <c r="W3" t="s">
        <v>864</v>
      </c>
      <c r="X3" t="s">
        <v>864</v>
      </c>
      <c r="Y3" t="s">
        <v>866</v>
      </c>
      <c r="Z3" t="s">
        <v>866</v>
      </c>
      <c r="AA3" t="s">
        <v>864</v>
      </c>
      <c r="AB3" t="s">
        <v>874</v>
      </c>
      <c r="AC3" t="s">
        <v>868</v>
      </c>
      <c r="AD3" t="s">
        <v>865</v>
      </c>
      <c r="AE3" t="s">
        <v>864</v>
      </c>
      <c r="AG3" t="s">
        <v>869</v>
      </c>
      <c r="AH3" t="s">
        <v>875</v>
      </c>
      <c r="AI3" t="s">
        <v>864</v>
      </c>
      <c r="AJ3" t="s">
        <v>864</v>
      </c>
      <c r="AK3" t="s">
        <v>864</v>
      </c>
      <c r="AL3" t="s">
        <v>876</v>
      </c>
      <c r="AM3" t="s">
        <v>874</v>
      </c>
      <c r="AN3" t="s">
        <v>869</v>
      </c>
      <c r="AO3" t="s">
        <v>864</v>
      </c>
      <c r="AP3" t="s">
        <v>870</v>
      </c>
      <c r="AQ3" t="s">
        <v>873</v>
      </c>
      <c r="AR3" t="s">
        <v>875</v>
      </c>
      <c r="AS3" t="s">
        <v>864</v>
      </c>
      <c r="AT3" t="s">
        <v>864</v>
      </c>
      <c r="AU3" t="s">
        <v>864</v>
      </c>
      <c r="AV3" t="s">
        <v>864</v>
      </c>
      <c r="AW3" t="s">
        <v>864</v>
      </c>
      <c r="AX3" t="s">
        <v>864</v>
      </c>
      <c r="AY3" t="s">
        <v>874</v>
      </c>
      <c r="AZ3" t="s">
        <v>864</v>
      </c>
      <c r="BA3" t="s">
        <v>864</v>
      </c>
      <c r="BB3" t="s">
        <v>864</v>
      </c>
      <c r="BC3" t="s">
        <v>870</v>
      </c>
      <c r="BD3" t="s">
        <v>864</v>
      </c>
      <c r="BE3" t="s">
        <v>870</v>
      </c>
      <c r="BF3" t="s">
        <v>870</v>
      </c>
      <c r="BG3" t="s">
        <v>864</v>
      </c>
      <c r="BH3" t="s">
        <v>877</v>
      </c>
      <c r="BI3" t="s">
        <v>864</v>
      </c>
      <c r="BJ3" t="s">
        <v>864</v>
      </c>
      <c r="BK3" t="s">
        <v>877</v>
      </c>
      <c r="BL3" t="s">
        <v>864</v>
      </c>
      <c r="BM3" t="s">
        <v>869</v>
      </c>
      <c r="BN3" t="s">
        <v>864</v>
      </c>
      <c r="BO3" t="s">
        <v>864</v>
      </c>
      <c r="BP3" t="s">
        <v>864</v>
      </c>
      <c r="BQ3" t="s">
        <v>864</v>
      </c>
      <c r="BR3" t="s">
        <v>878</v>
      </c>
      <c r="BS3" t="s">
        <v>878</v>
      </c>
      <c r="BT3" t="s">
        <v>864</v>
      </c>
      <c r="BU3" t="s">
        <v>869</v>
      </c>
      <c r="BV3" t="s">
        <v>865</v>
      </c>
      <c r="BY3" t="s">
        <v>866</v>
      </c>
      <c r="BZ3" t="s">
        <v>875</v>
      </c>
      <c r="CA3" t="s">
        <v>874</v>
      </c>
      <c r="CB3" t="s">
        <v>864</v>
      </c>
      <c r="CC3" t="s">
        <v>873</v>
      </c>
      <c r="CD3" t="s">
        <v>864</v>
      </c>
      <c r="CE3" t="s">
        <v>864</v>
      </c>
      <c r="CF3" t="s">
        <v>864</v>
      </c>
      <c r="CG3" t="s">
        <v>865</v>
      </c>
      <c r="CH3" t="s">
        <v>879</v>
      </c>
    </row>
    <row r="4" spans="1:88" x14ac:dyDescent="0.2">
      <c r="A4" t="s">
        <v>880</v>
      </c>
      <c r="B4" t="s">
        <v>880</v>
      </c>
      <c r="C4" t="s">
        <v>880</v>
      </c>
      <c r="D4" t="s">
        <v>880</v>
      </c>
      <c r="F4" t="s">
        <v>880</v>
      </c>
      <c r="G4" t="s">
        <v>880</v>
      </c>
      <c r="H4" t="s">
        <v>880</v>
      </c>
      <c r="I4" t="s">
        <v>881</v>
      </c>
      <c r="J4" t="s">
        <v>880</v>
      </c>
      <c r="K4" t="s">
        <v>882</v>
      </c>
      <c r="L4" t="s">
        <v>880</v>
      </c>
      <c r="M4" t="s">
        <v>883</v>
      </c>
      <c r="N4" t="s">
        <v>884</v>
      </c>
      <c r="O4" t="s">
        <v>885</v>
      </c>
      <c r="Q4" t="s">
        <v>886</v>
      </c>
      <c r="R4" t="s">
        <v>885</v>
      </c>
      <c r="S4" t="s">
        <v>885</v>
      </c>
      <c r="T4" t="s">
        <v>887</v>
      </c>
      <c r="U4" t="s">
        <v>880</v>
      </c>
      <c r="V4" t="s">
        <v>887</v>
      </c>
      <c r="W4" t="s">
        <v>880</v>
      </c>
      <c r="X4" t="s">
        <v>880</v>
      </c>
      <c r="Y4" t="s">
        <v>881</v>
      </c>
      <c r="Z4" t="s">
        <v>881</v>
      </c>
      <c r="AA4" t="s">
        <v>880</v>
      </c>
      <c r="AB4" t="s">
        <v>888</v>
      </c>
      <c r="AC4" t="s">
        <v>883</v>
      </c>
      <c r="AE4" t="s">
        <v>880</v>
      </c>
      <c r="AG4" t="s">
        <v>884</v>
      </c>
      <c r="AH4" t="s">
        <v>879</v>
      </c>
      <c r="AI4" t="s">
        <v>880</v>
      </c>
      <c r="AJ4" t="s">
        <v>880</v>
      </c>
      <c r="AK4" t="s">
        <v>880</v>
      </c>
      <c r="AM4" t="s">
        <v>888</v>
      </c>
      <c r="AN4" t="s">
        <v>884</v>
      </c>
      <c r="AO4" t="s">
        <v>880</v>
      </c>
      <c r="AP4" t="s">
        <v>885</v>
      </c>
      <c r="AQ4" t="s">
        <v>887</v>
      </c>
      <c r="AR4" t="s">
        <v>879</v>
      </c>
      <c r="AS4" t="s">
        <v>880</v>
      </c>
      <c r="AT4" t="s">
        <v>880</v>
      </c>
      <c r="AU4" t="s">
        <v>880</v>
      </c>
      <c r="AV4" t="s">
        <v>880</v>
      </c>
      <c r="AW4" t="s">
        <v>880</v>
      </c>
      <c r="AX4" t="s">
        <v>880</v>
      </c>
      <c r="AY4" t="s">
        <v>888</v>
      </c>
      <c r="AZ4" t="s">
        <v>880</v>
      </c>
      <c r="BA4" t="s">
        <v>880</v>
      </c>
      <c r="BB4" t="s">
        <v>880</v>
      </c>
      <c r="BC4" t="s">
        <v>885</v>
      </c>
      <c r="BD4" t="s">
        <v>880</v>
      </c>
      <c r="BE4" t="s">
        <v>885</v>
      </c>
      <c r="BF4" t="s">
        <v>885</v>
      </c>
      <c r="BG4" t="s">
        <v>880</v>
      </c>
      <c r="BH4" t="s">
        <v>889</v>
      </c>
      <c r="BI4" t="s">
        <v>880</v>
      </c>
      <c r="BJ4" t="s">
        <v>880</v>
      </c>
      <c r="BK4" t="s">
        <v>889</v>
      </c>
      <c r="BL4" t="s">
        <v>880</v>
      </c>
      <c r="BM4" t="s">
        <v>884</v>
      </c>
      <c r="BN4" t="s">
        <v>880</v>
      </c>
      <c r="BO4" t="s">
        <v>880</v>
      </c>
      <c r="BP4" t="s">
        <v>880</v>
      </c>
      <c r="BQ4" t="s">
        <v>880</v>
      </c>
      <c r="BR4" t="s">
        <v>890</v>
      </c>
      <c r="BS4" t="s">
        <v>890</v>
      </c>
      <c r="BT4" t="s">
        <v>880</v>
      </c>
      <c r="BU4" t="s">
        <v>884</v>
      </c>
      <c r="BY4" t="s">
        <v>881</v>
      </c>
      <c r="BZ4" t="s">
        <v>879</v>
      </c>
      <c r="CA4" t="s">
        <v>888</v>
      </c>
      <c r="CB4" t="s">
        <v>880</v>
      </c>
      <c r="CC4" t="s">
        <v>887</v>
      </c>
      <c r="CD4" t="s">
        <v>880</v>
      </c>
      <c r="CE4" t="s">
        <v>880</v>
      </c>
      <c r="CF4" t="s">
        <v>880</v>
      </c>
      <c r="CH4" t="s">
        <v>870</v>
      </c>
    </row>
    <row r="5" spans="1:88" x14ac:dyDescent="0.2">
      <c r="I5" t="s">
        <v>891</v>
      </c>
      <c r="K5" t="s">
        <v>869</v>
      </c>
      <c r="O5" t="s">
        <v>892</v>
      </c>
      <c r="R5" t="s">
        <v>892</v>
      </c>
      <c r="S5" t="s">
        <v>892</v>
      </c>
      <c r="T5" t="s">
        <v>735</v>
      </c>
      <c r="V5" t="s">
        <v>735</v>
      </c>
      <c r="Y5" t="s">
        <v>891</v>
      </c>
      <c r="Z5" t="s">
        <v>891</v>
      </c>
      <c r="AH5" t="s">
        <v>893</v>
      </c>
      <c r="AP5" t="s">
        <v>892</v>
      </c>
      <c r="AQ5" t="s">
        <v>735</v>
      </c>
      <c r="AR5" t="s">
        <v>893</v>
      </c>
      <c r="BC5" t="s">
        <v>892</v>
      </c>
      <c r="BE5" t="s">
        <v>892</v>
      </c>
      <c r="BF5" t="s">
        <v>892</v>
      </c>
      <c r="BH5" t="s">
        <v>894</v>
      </c>
      <c r="BK5" t="s">
        <v>894</v>
      </c>
      <c r="BY5" t="s">
        <v>891</v>
      </c>
      <c r="BZ5" t="s">
        <v>893</v>
      </c>
      <c r="CC5" t="s">
        <v>735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9"/>
  <sheetViews>
    <sheetView workbookViewId="0"/>
  </sheetViews>
  <sheetFormatPr defaultColWidth="9.140625" defaultRowHeight="12.75" x14ac:dyDescent="0.2"/>
  <sheetData>
    <row r="1" spans="1:2" x14ac:dyDescent="0.2">
      <c r="A1" t="s">
        <v>14</v>
      </c>
      <c r="B1" t="s">
        <v>757</v>
      </c>
    </row>
    <row r="2" spans="1:2" x14ac:dyDescent="0.2">
      <c r="A2" t="s">
        <v>219</v>
      </c>
      <c r="B2" t="s">
        <v>895</v>
      </c>
    </row>
    <row r="3" spans="1:2" x14ac:dyDescent="0.2">
      <c r="A3" t="s">
        <v>319</v>
      </c>
      <c r="B3" t="s">
        <v>896</v>
      </c>
    </row>
    <row r="4" spans="1:2" x14ac:dyDescent="0.2">
      <c r="A4" t="s">
        <v>410</v>
      </c>
      <c r="B4" t="s">
        <v>897</v>
      </c>
    </row>
    <row r="5" spans="1:2" x14ac:dyDescent="0.2">
      <c r="A5" t="s">
        <v>336</v>
      </c>
      <c r="B5" t="s">
        <v>898</v>
      </c>
    </row>
    <row r="6" spans="1:2" x14ac:dyDescent="0.2">
      <c r="A6" t="s">
        <v>458</v>
      </c>
      <c r="B6" t="s">
        <v>899</v>
      </c>
    </row>
    <row r="7" spans="1:2" x14ac:dyDescent="0.2">
      <c r="A7" t="s">
        <v>256</v>
      </c>
      <c r="B7" t="s">
        <v>900</v>
      </c>
    </row>
    <row r="8" spans="1:2" x14ac:dyDescent="0.2">
      <c r="A8" t="s">
        <v>391</v>
      </c>
      <c r="B8" t="s">
        <v>901</v>
      </c>
    </row>
    <row r="9" spans="1:2" x14ac:dyDescent="0.2">
      <c r="A9" t="s">
        <v>206</v>
      </c>
      <c r="B9" t="s">
        <v>902</v>
      </c>
    </row>
    <row r="10" spans="1:2" x14ac:dyDescent="0.2">
      <c r="A10" t="s">
        <v>167</v>
      </c>
      <c r="B10" t="s">
        <v>903</v>
      </c>
    </row>
    <row r="11" spans="1:2" x14ac:dyDescent="0.2">
      <c r="A11" t="s">
        <v>418</v>
      </c>
      <c r="B11" t="s">
        <v>904</v>
      </c>
    </row>
    <row r="12" spans="1:2" x14ac:dyDescent="0.2">
      <c r="A12" t="s">
        <v>447</v>
      </c>
      <c r="B12" t="s">
        <v>905</v>
      </c>
    </row>
    <row r="13" spans="1:2" x14ac:dyDescent="0.2">
      <c r="A13" t="s">
        <v>216</v>
      </c>
      <c r="B13" t="s">
        <v>906</v>
      </c>
    </row>
    <row r="14" spans="1:2" x14ac:dyDescent="0.2">
      <c r="A14" t="s">
        <v>201</v>
      </c>
      <c r="B14" t="s">
        <v>907</v>
      </c>
    </row>
    <row r="15" spans="1:2" x14ac:dyDescent="0.2">
      <c r="A15" t="s">
        <v>287</v>
      </c>
      <c r="B15" t="s">
        <v>908</v>
      </c>
    </row>
    <row r="16" spans="1:2" x14ac:dyDescent="0.2">
      <c r="A16" t="s">
        <v>298</v>
      </c>
      <c r="B16" t="s">
        <v>909</v>
      </c>
    </row>
    <row r="17" spans="1:2" x14ac:dyDescent="0.2">
      <c r="A17" t="s">
        <v>332</v>
      </c>
      <c r="B17" t="s">
        <v>910</v>
      </c>
    </row>
    <row r="18" spans="1:2" x14ac:dyDescent="0.2">
      <c r="A18" t="s">
        <v>363</v>
      </c>
      <c r="B18" t="s">
        <v>911</v>
      </c>
    </row>
    <row r="19" spans="1:2" x14ac:dyDescent="0.2">
      <c r="A19" t="s">
        <v>225</v>
      </c>
      <c r="B19" t="s">
        <v>912</v>
      </c>
    </row>
    <row r="20" spans="1:2" x14ac:dyDescent="0.2">
      <c r="A20" t="s">
        <v>205</v>
      </c>
      <c r="B20" t="s">
        <v>913</v>
      </c>
    </row>
    <row r="21" spans="1:2" x14ac:dyDescent="0.2">
      <c r="A21" t="s">
        <v>209</v>
      </c>
      <c r="B21" t="s">
        <v>914</v>
      </c>
    </row>
    <row r="22" spans="1:2" x14ac:dyDescent="0.2">
      <c r="A22" t="s">
        <v>265</v>
      </c>
      <c r="B22" t="s">
        <v>915</v>
      </c>
    </row>
    <row r="23" spans="1:2" x14ac:dyDescent="0.2">
      <c r="A23" t="s">
        <v>262</v>
      </c>
      <c r="B23" t="s">
        <v>916</v>
      </c>
    </row>
    <row r="24" spans="1:2" x14ac:dyDescent="0.2">
      <c r="A24" t="s">
        <v>326</v>
      </c>
      <c r="B24" t="s">
        <v>917</v>
      </c>
    </row>
    <row r="25" spans="1:2" x14ac:dyDescent="0.2">
      <c r="A25" t="s">
        <v>385</v>
      </c>
      <c r="B25" t="s">
        <v>918</v>
      </c>
    </row>
    <row r="26" spans="1:2" x14ac:dyDescent="0.2">
      <c r="A26" t="s">
        <v>360</v>
      </c>
      <c r="B26" t="s">
        <v>919</v>
      </c>
    </row>
    <row r="27" spans="1:2" x14ac:dyDescent="0.2">
      <c r="A27" t="s">
        <v>357</v>
      </c>
      <c r="B27" t="s">
        <v>920</v>
      </c>
    </row>
    <row r="28" spans="1:2" x14ac:dyDescent="0.2">
      <c r="A28" t="s">
        <v>394</v>
      </c>
      <c r="B28" t="s">
        <v>921</v>
      </c>
    </row>
    <row r="29" spans="1:2" x14ac:dyDescent="0.2">
      <c r="A29" t="s">
        <v>434</v>
      </c>
      <c r="B29" t="s">
        <v>922</v>
      </c>
    </row>
    <row r="30" spans="1:2" x14ac:dyDescent="0.2">
      <c r="A30" t="s">
        <v>343</v>
      </c>
      <c r="B30" t="s">
        <v>923</v>
      </c>
    </row>
    <row r="31" spans="1:2" x14ac:dyDescent="0.2">
      <c r="A31" t="s">
        <v>455</v>
      </c>
      <c r="B31" t="s">
        <v>924</v>
      </c>
    </row>
    <row r="32" spans="1:2" x14ac:dyDescent="0.2">
      <c r="A32" t="s">
        <v>401</v>
      </c>
      <c r="B32" t="s">
        <v>925</v>
      </c>
    </row>
    <row r="33" spans="1:2" x14ac:dyDescent="0.2">
      <c r="A33" t="s">
        <v>465</v>
      </c>
      <c r="B33" t="s">
        <v>926</v>
      </c>
    </row>
    <row r="34" spans="1:2" x14ac:dyDescent="0.2">
      <c r="A34" t="s">
        <v>283</v>
      </c>
      <c r="B34" t="s">
        <v>927</v>
      </c>
    </row>
    <row r="35" spans="1:2" x14ac:dyDescent="0.2">
      <c r="A35" t="s">
        <v>438</v>
      </c>
      <c r="B35" t="s">
        <v>928</v>
      </c>
    </row>
    <row r="36" spans="1:2" x14ac:dyDescent="0.2">
      <c r="A36" t="s">
        <v>222</v>
      </c>
      <c r="B36" t="s">
        <v>929</v>
      </c>
    </row>
    <row r="37" spans="1:2" x14ac:dyDescent="0.2">
      <c r="A37" t="s">
        <v>370</v>
      </c>
      <c r="B37" t="s">
        <v>930</v>
      </c>
    </row>
    <row r="38" spans="1:2" x14ac:dyDescent="0.2">
      <c r="A38" t="s">
        <v>372</v>
      </c>
      <c r="B38" t="s">
        <v>931</v>
      </c>
    </row>
    <row r="39" spans="1:2" x14ac:dyDescent="0.2">
      <c r="A39" t="s">
        <v>301</v>
      </c>
      <c r="B39" t="s">
        <v>932</v>
      </c>
    </row>
    <row r="40" spans="1:2" x14ac:dyDescent="0.2">
      <c r="A40" t="s">
        <v>339</v>
      </c>
      <c r="B40" t="s">
        <v>933</v>
      </c>
    </row>
    <row r="41" spans="1:2" x14ac:dyDescent="0.2">
      <c r="A41" t="s">
        <v>426</v>
      </c>
      <c r="B41" t="s">
        <v>934</v>
      </c>
    </row>
    <row r="42" spans="1:2" x14ac:dyDescent="0.2">
      <c r="A42" t="s">
        <v>311</v>
      </c>
      <c r="B42" t="s">
        <v>935</v>
      </c>
    </row>
    <row r="43" spans="1:2" x14ac:dyDescent="0.2">
      <c r="A43" t="s">
        <v>345</v>
      </c>
      <c r="B43" t="s">
        <v>936</v>
      </c>
    </row>
    <row r="44" spans="1:2" x14ac:dyDescent="0.2">
      <c r="A44" t="s">
        <v>295</v>
      </c>
      <c r="B44" t="s">
        <v>937</v>
      </c>
    </row>
    <row r="45" spans="1:2" x14ac:dyDescent="0.2">
      <c r="A45" t="s">
        <v>329</v>
      </c>
      <c r="B45" t="s">
        <v>938</v>
      </c>
    </row>
    <row r="46" spans="1:2" x14ac:dyDescent="0.2">
      <c r="A46" t="s">
        <v>436</v>
      </c>
      <c r="B46" t="s">
        <v>939</v>
      </c>
    </row>
    <row r="47" spans="1:2" x14ac:dyDescent="0.2">
      <c r="A47" t="s">
        <v>253</v>
      </c>
      <c r="B47" t="s">
        <v>940</v>
      </c>
    </row>
    <row r="48" spans="1:2" x14ac:dyDescent="0.2">
      <c r="A48" t="s">
        <v>440</v>
      </c>
      <c r="B48" t="s">
        <v>941</v>
      </c>
    </row>
    <row r="49" spans="1:2" x14ac:dyDescent="0.2">
      <c r="A49" t="s">
        <v>398</v>
      </c>
      <c r="B49" t="s">
        <v>942</v>
      </c>
    </row>
    <row r="50" spans="1:2" x14ac:dyDescent="0.2">
      <c r="A50" t="s">
        <v>228</v>
      </c>
      <c r="B50" t="s">
        <v>943</v>
      </c>
    </row>
    <row r="51" spans="1:2" x14ac:dyDescent="0.2">
      <c r="A51" t="s">
        <v>293</v>
      </c>
      <c r="B51" t="s">
        <v>944</v>
      </c>
    </row>
    <row r="52" spans="1:2" x14ac:dyDescent="0.2">
      <c r="A52" t="s">
        <v>428</v>
      </c>
      <c r="B52" t="s">
        <v>945</v>
      </c>
    </row>
    <row r="53" spans="1:2" x14ac:dyDescent="0.2">
      <c r="A53" t="s">
        <v>378</v>
      </c>
      <c r="B53" t="s">
        <v>946</v>
      </c>
    </row>
    <row r="54" spans="1:2" x14ac:dyDescent="0.2">
      <c r="A54" t="s">
        <v>407</v>
      </c>
      <c r="B54" t="s">
        <v>947</v>
      </c>
    </row>
    <row r="55" spans="1:2" x14ac:dyDescent="0.2">
      <c r="A55" t="s">
        <v>305</v>
      </c>
      <c r="B55" t="s">
        <v>948</v>
      </c>
    </row>
    <row r="56" spans="1:2" x14ac:dyDescent="0.2">
      <c r="A56" t="s">
        <v>281</v>
      </c>
      <c r="B56" t="s">
        <v>949</v>
      </c>
    </row>
    <row r="57" spans="1:2" x14ac:dyDescent="0.2">
      <c r="A57" t="s">
        <v>404</v>
      </c>
      <c r="B57" t="s">
        <v>950</v>
      </c>
    </row>
    <row r="58" spans="1:2" x14ac:dyDescent="0.2">
      <c r="A58" t="s">
        <v>313</v>
      </c>
      <c r="B58" t="s">
        <v>951</v>
      </c>
    </row>
    <row r="59" spans="1:2" x14ac:dyDescent="0.2">
      <c r="A59" t="s">
        <v>271</v>
      </c>
      <c r="B59" t="s">
        <v>952</v>
      </c>
    </row>
    <row r="60" spans="1:2" x14ac:dyDescent="0.2">
      <c r="A60" t="s">
        <v>445</v>
      </c>
      <c r="B60" t="s">
        <v>953</v>
      </c>
    </row>
    <row r="61" spans="1:2" x14ac:dyDescent="0.2">
      <c r="A61" t="s">
        <v>422</v>
      </c>
      <c r="B61" t="s">
        <v>954</v>
      </c>
    </row>
    <row r="62" spans="1:2" x14ac:dyDescent="0.2">
      <c r="A62" t="s">
        <v>259</v>
      </c>
      <c r="B62" t="s">
        <v>955</v>
      </c>
    </row>
    <row r="63" spans="1:2" x14ac:dyDescent="0.2">
      <c r="A63" t="s">
        <v>347</v>
      </c>
      <c r="B63" t="s">
        <v>956</v>
      </c>
    </row>
    <row r="64" spans="1:2" x14ac:dyDescent="0.2">
      <c r="A64" t="s">
        <v>322</v>
      </c>
      <c r="B64" t="s">
        <v>957</v>
      </c>
    </row>
    <row r="65" spans="1:2" x14ac:dyDescent="0.2">
      <c r="A65" t="s">
        <v>290</v>
      </c>
      <c r="B65" t="s">
        <v>958</v>
      </c>
    </row>
    <row r="66" spans="1:2" x14ac:dyDescent="0.2">
      <c r="A66" t="s">
        <v>431</v>
      </c>
      <c r="B66" t="s">
        <v>959</v>
      </c>
    </row>
    <row r="67" spans="1:2" x14ac:dyDescent="0.2">
      <c r="A67" t="s">
        <v>413</v>
      </c>
      <c r="B67" t="s">
        <v>960</v>
      </c>
    </row>
    <row r="68" spans="1:2" x14ac:dyDescent="0.2">
      <c r="A68" t="s">
        <v>367</v>
      </c>
      <c r="B68" t="s">
        <v>961</v>
      </c>
    </row>
    <row r="69" spans="1:2" x14ac:dyDescent="0.2">
      <c r="A69" t="s">
        <v>382</v>
      </c>
      <c r="B69" t="s">
        <v>962</v>
      </c>
    </row>
    <row r="70" spans="1:2" x14ac:dyDescent="0.2">
      <c r="A70" t="s">
        <v>316</v>
      </c>
      <c r="B70" t="s">
        <v>963</v>
      </c>
    </row>
    <row r="71" spans="1:2" x14ac:dyDescent="0.2">
      <c r="A71" t="s">
        <v>242</v>
      </c>
      <c r="B71" t="s">
        <v>964</v>
      </c>
    </row>
    <row r="72" spans="1:2" x14ac:dyDescent="0.2">
      <c r="A72" t="s">
        <v>246</v>
      </c>
      <c r="B72" t="s">
        <v>965</v>
      </c>
    </row>
    <row r="73" spans="1:2" x14ac:dyDescent="0.2">
      <c r="A73" t="s">
        <v>268</v>
      </c>
      <c r="B73" t="s">
        <v>966</v>
      </c>
    </row>
    <row r="74" spans="1:2" x14ac:dyDescent="0.2">
      <c r="A74" t="s">
        <v>443</v>
      </c>
      <c r="B74" t="s">
        <v>967</v>
      </c>
    </row>
    <row r="75" spans="1:2" x14ac:dyDescent="0.2">
      <c r="A75" t="s">
        <v>451</v>
      </c>
      <c r="B75" t="s">
        <v>968</v>
      </c>
    </row>
    <row r="76" spans="1:2" x14ac:dyDescent="0.2">
      <c r="A76" t="s">
        <v>172</v>
      </c>
      <c r="B76" t="s">
        <v>969</v>
      </c>
    </row>
    <row r="77" spans="1:2" x14ac:dyDescent="0.2">
      <c r="A77" t="s">
        <v>353</v>
      </c>
      <c r="B77" t="s">
        <v>970</v>
      </c>
    </row>
    <row r="78" spans="1:2" x14ac:dyDescent="0.2">
      <c r="A78" t="s">
        <v>308</v>
      </c>
      <c r="B78" t="s">
        <v>971</v>
      </c>
    </row>
    <row r="79" spans="1:2" x14ac:dyDescent="0.2">
      <c r="A79" t="s">
        <v>249</v>
      </c>
      <c r="B79" t="s">
        <v>972</v>
      </c>
    </row>
    <row r="80" spans="1:2" x14ac:dyDescent="0.2">
      <c r="A80" t="s">
        <v>231</v>
      </c>
      <c r="B80" t="s">
        <v>973</v>
      </c>
    </row>
    <row r="81" spans="1:2" x14ac:dyDescent="0.2">
      <c r="A81" t="s">
        <v>416</v>
      </c>
      <c r="B81" t="s">
        <v>974</v>
      </c>
    </row>
    <row r="82" spans="1:2" x14ac:dyDescent="0.2">
      <c r="A82" t="s">
        <v>278</v>
      </c>
      <c r="B82" t="s">
        <v>975</v>
      </c>
    </row>
    <row r="83" spans="1:2" x14ac:dyDescent="0.2">
      <c r="A83" t="s">
        <v>375</v>
      </c>
      <c r="B83" t="s">
        <v>976</v>
      </c>
    </row>
    <row r="84" spans="1:2" x14ac:dyDescent="0.2">
      <c r="A84" t="s">
        <v>421</v>
      </c>
      <c r="B84" t="s">
        <v>977</v>
      </c>
    </row>
    <row r="85" spans="1:2" x14ac:dyDescent="0.2">
      <c r="A85" t="s">
        <v>388</v>
      </c>
      <c r="B85" t="s">
        <v>978</v>
      </c>
    </row>
    <row r="86" spans="1:2" x14ac:dyDescent="0.2">
      <c r="A86" t="s">
        <v>461</v>
      </c>
      <c r="B86" t="s">
        <v>979</v>
      </c>
    </row>
    <row r="87" spans="1:2" x14ac:dyDescent="0.2">
      <c r="A87" t="s">
        <v>274</v>
      </c>
      <c r="B87" t="s">
        <v>980</v>
      </c>
    </row>
    <row r="88" spans="1:2" x14ac:dyDescent="0.2">
      <c r="A88" t="s">
        <v>238</v>
      </c>
      <c r="B88" t="s">
        <v>981</v>
      </c>
    </row>
    <row r="89" spans="1:2" x14ac:dyDescent="0.2">
      <c r="A89" t="s">
        <v>350</v>
      </c>
      <c r="B89" t="s">
        <v>982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I5"/>
  <sheetViews>
    <sheetView workbookViewId="0">
      <selection activeCell="D1" sqref="D1"/>
    </sheetView>
  </sheetViews>
  <sheetFormatPr defaultColWidth="9.140625" defaultRowHeight="12.75" x14ac:dyDescent="0.2"/>
  <sheetData>
    <row r="1" spans="1:87"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283</v>
      </c>
      <c r="AG1" t="s">
        <v>438</v>
      </c>
      <c r="AH1" t="s">
        <v>222</v>
      </c>
      <c r="AI1" t="s">
        <v>370</v>
      </c>
      <c r="AJ1" t="s">
        <v>372</v>
      </c>
      <c r="AK1" t="s">
        <v>301</v>
      </c>
      <c r="AL1" t="s">
        <v>339</v>
      </c>
      <c r="AM1" t="s">
        <v>426</v>
      </c>
      <c r="AN1" t="s">
        <v>311</v>
      </c>
      <c r="AO1" t="s">
        <v>345</v>
      </c>
      <c r="AP1" t="s">
        <v>295</v>
      </c>
      <c r="AQ1" t="s">
        <v>329</v>
      </c>
      <c r="AR1" t="s">
        <v>436</v>
      </c>
      <c r="AS1" t="s">
        <v>253</v>
      </c>
      <c r="AT1" t="s">
        <v>440</v>
      </c>
      <c r="AU1" t="s">
        <v>398</v>
      </c>
      <c r="AV1" t="s">
        <v>228</v>
      </c>
      <c r="AW1" t="s">
        <v>293</v>
      </c>
      <c r="AX1" t="s">
        <v>428</v>
      </c>
      <c r="AY1" t="s">
        <v>378</v>
      </c>
      <c r="AZ1" t="s">
        <v>407</v>
      </c>
      <c r="BA1" t="s">
        <v>305</v>
      </c>
      <c r="BB1" t="s">
        <v>281</v>
      </c>
      <c r="BC1" t="s">
        <v>404</v>
      </c>
      <c r="BD1" t="s">
        <v>313</v>
      </c>
      <c r="BE1" t="s">
        <v>271</v>
      </c>
      <c r="BF1" t="s">
        <v>445</v>
      </c>
      <c r="BG1" t="s">
        <v>422</v>
      </c>
      <c r="BH1" t="s">
        <v>259</v>
      </c>
      <c r="BI1" t="s">
        <v>347</v>
      </c>
      <c r="BJ1" t="s">
        <v>322</v>
      </c>
      <c r="BK1" t="s">
        <v>290</v>
      </c>
      <c r="BL1" t="s">
        <v>431</v>
      </c>
      <c r="BM1" t="s">
        <v>413</v>
      </c>
      <c r="BN1" t="s">
        <v>367</v>
      </c>
      <c r="BO1" t="s">
        <v>382</v>
      </c>
      <c r="BP1" t="s">
        <v>316</v>
      </c>
      <c r="BQ1" t="s">
        <v>242</v>
      </c>
      <c r="BR1" t="s">
        <v>246</v>
      </c>
      <c r="BS1" t="s">
        <v>268</v>
      </c>
      <c r="BT1" t="s">
        <v>443</v>
      </c>
      <c r="BU1" t="s">
        <v>451</v>
      </c>
      <c r="BV1" t="s">
        <v>172</v>
      </c>
      <c r="BW1" t="s">
        <v>353</v>
      </c>
      <c r="BX1" t="s">
        <v>308</v>
      </c>
      <c r="BY1" t="s">
        <v>249</v>
      </c>
      <c r="BZ1" t="s">
        <v>231</v>
      </c>
      <c r="CA1" t="s">
        <v>416</v>
      </c>
      <c r="CB1" t="s">
        <v>278</v>
      </c>
      <c r="CC1" t="s">
        <v>375</v>
      </c>
      <c r="CD1" t="s">
        <v>421</v>
      </c>
      <c r="CE1" t="s">
        <v>388</v>
      </c>
      <c r="CF1" t="s">
        <v>461</v>
      </c>
      <c r="CG1" t="s">
        <v>274</v>
      </c>
      <c r="CH1" t="s">
        <v>238</v>
      </c>
      <c r="CI1" t="s">
        <v>350</v>
      </c>
    </row>
    <row r="2" spans="1:87" x14ac:dyDescent="0.2">
      <c r="A2" t="s">
        <v>220</v>
      </c>
      <c r="B2" t="s">
        <v>983</v>
      </c>
      <c r="C2" t="s">
        <v>411</v>
      </c>
      <c r="D2" t="s">
        <v>984</v>
      </c>
      <c r="E2" t="s">
        <v>459</v>
      </c>
      <c r="F2" t="s">
        <v>257</v>
      </c>
      <c r="G2" t="s">
        <v>985</v>
      </c>
      <c r="H2" t="s">
        <v>213</v>
      </c>
      <c r="I2" t="s">
        <v>986</v>
      </c>
      <c r="J2" t="s">
        <v>419</v>
      </c>
      <c r="K2" t="s">
        <v>987</v>
      </c>
      <c r="L2" t="s">
        <v>217</v>
      </c>
      <c r="M2" t="s">
        <v>202</v>
      </c>
      <c r="N2" t="s">
        <v>988</v>
      </c>
      <c r="O2" t="s">
        <v>299</v>
      </c>
      <c r="P2" t="s">
        <v>989</v>
      </c>
      <c r="Q2" t="s">
        <v>990</v>
      </c>
      <c r="R2" t="s">
        <v>991</v>
      </c>
      <c r="S2" t="s">
        <v>206</v>
      </c>
      <c r="T2" t="s">
        <v>992</v>
      </c>
      <c r="U2" t="s">
        <v>993</v>
      </c>
      <c r="V2" t="s">
        <v>994</v>
      </c>
      <c r="W2" t="s">
        <v>995</v>
      </c>
      <c r="X2" t="s">
        <v>996</v>
      </c>
      <c r="Y2" t="s">
        <v>306</v>
      </c>
      <c r="Z2" t="s">
        <v>358</v>
      </c>
      <c r="AA2" t="s">
        <v>997</v>
      </c>
      <c r="AB2" t="s">
        <v>998</v>
      </c>
      <c r="AC2" t="s">
        <v>202</v>
      </c>
      <c r="AD2" t="s">
        <v>999</v>
      </c>
      <c r="AE2" t="s">
        <v>402</v>
      </c>
      <c r="AF2" t="s">
        <v>284</v>
      </c>
      <c r="AG2" t="s">
        <v>1000</v>
      </c>
      <c r="AH2" t="s">
        <v>348</v>
      </c>
      <c r="AI2" t="s">
        <v>1001</v>
      </c>
      <c r="AJ2" t="s">
        <v>1002</v>
      </c>
      <c r="AK2" t="s">
        <v>302</v>
      </c>
      <c r="AL2" t="s">
        <v>1003</v>
      </c>
      <c r="AM2" t="s">
        <v>1004</v>
      </c>
      <c r="AN2" t="s">
        <v>1005</v>
      </c>
      <c r="AO2" t="s">
        <v>272</v>
      </c>
      <c r="AP2" t="s">
        <v>268</v>
      </c>
      <c r="AQ2" t="s">
        <v>306</v>
      </c>
      <c r="AR2" t="s">
        <v>306</v>
      </c>
      <c r="AS2" t="s">
        <v>1006</v>
      </c>
      <c r="AT2" t="s">
        <v>441</v>
      </c>
      <c r="AU2" t="s">
        <v>399</v>
      </c>
      <c r="AV2" t="s">
        <v>1007</v>
      </c>
      <c r="AW2" t="s">
        <v>1008</v>
      </c>
      <c r="AX2" t="s">
        <v>1009</v>
      </c>
      <c r="AY2" t="s">
        <v>379</v>
      </c>
      <c r="AZ2" t="s">
        <v>1010</v>
      </c>
      <c r="BA2" t="s">
        <v>306</v>
      </c>
      <c r="BB2" t="s">
        <v>206</v>
      </c>
      <c r="BC2" t="s">
        <v>405</v>
      </c>
      <c r="BD2" t="s">
        <v>1011</v>
      </c>
      <c r="BE2" t="s">
        <v>272</v>
      </c>
      <c r="BF2" t="s">
        <v>1012</v>
      </c>
      <c r="BG2" t="s">
        <v>423</v>
      </c>
      <c r="BH2" t="s">
        <v>217</v>
      </c>
      <c r="BI2" t="s">
        <v>348</v>
      </c>
      <c r="BJ2" t="s">
        <v>1013</v>
      </c>
      <c r="BK2" t="s">
        <v>1014</v>
      </c>
      <c r="BL2" t="s">
        <v>1015</v>
      </c>
      <c r="BM2" t="s">
        <v>372</v>
      </c>
      <c r="BN2" t="s">
        <v>1016</v>
      </c>
      <c r="BO2" t="s">
        <v>1017</v>
      </c>
      <c r="BP2" t="s">
        <v>1018</v>
      </c>
      <c r="BQ2" t="s">
        <v>1019</v>
      </c>
      <c r="BR2" t="s">
        <v>1020</v>
      </c>
      <c r="BS2" t="s">
        <v>266</v>
      </c>
      <c r="BT2" t="s">
        <v>1021</v>
      </c>
      <c r="BU2" t="s">
        <v>1022</v>
      </c>
      <c r="BV2" t="s">
        <v>354</v>
      </c>
      <c r="BW2" t="s">
        <v>354</v>
      </c>
      <c r="BX2" t="s">
        <v>166</v>
      </c>
      <c r="BY2" t="s">
        <v>1023</v>
      </c>
      <c r="BZ2" t="s">
        <v>1024</v>
      </c>
      <c r="CA2" t="s">
        <v>266</v>
      </c>
      <c r="CB2" t="s">
        <v>279</v>
      </c>
      <c r="CC2" t="s">
        <v>1025</v>
      </c>
      <c r="CD2" t="s">
        <v>1026</v>
      </c>
      <c r="CE2" t="s">
        <v>1027</v>
      </c>
      <c r="CF2" t="s">
        <v>1028</v>
      </c>
      <c r="CG2" t="s">
        <v>275</v>
      </c>
      <c r="CH2" t="s">
        <v>1029</v>
      </c>
      <c r="CI2" t="s">
        <v>1030</v>
      </c>
    </row>
    <row r="3" spans="1:87" x14ac:dyDescent="0.2">
      <c r="A3" t="s">
        <v>1031</v>
      </c>
      <c r="B3" t="s">
        <v>1032</v>
      </c>
      <c r="C3" t="s">
        <v>272</v>
      </c>
      <c r="D3" t="s">
        <v>1033</v>
      </c>
      <c r="E3" t="s">
        <v>1034</v>
      </c>
      <c r="F3" t="s">
        <v>1035</v>
      </c>
      <c r="G3" t="s">
        <v>1036</v>
      </c>
      <c r="H3" t="s">
        <v>1037</v>
      </c>
      <c r="I3" t="s">
        <v>247</v>
      </c>
      <c r="J3" t="s">
        <v>1038</v>
      </c>
      <c r="K3" t="s">
        <v>1039</v>
      </c>
      <c r="L3" t="s">
        <v>314</v>
      </c>
      <c r="M3" t="s">
        <v>1040</v>
      </c>
      <c r="N3" t="s">
        <v>1035</v>
      </c>
      <c r="O3" t="s">
        <v>1041</v>
      </c>
      <c r="P3" t="s">
        <v>1042</v>
      </c>
      <c r="Q3" t="s">
        <v>1043</v>
      </c>
      <c r="R3" t="s">
        <v>206</v>
      </c>
      <c r="S3" t="s">
        <v>1044</v>
      </c>
      <c r="T3" t="s">
        <v>206</v>
      </c>
      <c r="U3" t="s">
        <v>1045</v>
      </c>
      <c r="V3" t="s">
        <v>314</v>
      </c>
      <c r="W3" t="s">
        <v>1046</v>
      </c>
      <c r="X3" t="s">
        <v>1047</v>
      </c>
      <c r="Y3" t="s">
        <v>166</v>
      </c>
      <c r="Z3" t="s">
        <v>986</v>
      </c>
      <c r="AA3" t="s">
        <v>389</v>
      </c>
      <c r="AB3" t="s">
        <v>1006</v>
      </c>
      <c r="AC3" t="s">
        <v>31</v>
      </c>
      <c r="AD3" t="s">
        <v>1048</v>
      </c>
      <c r="AE3" t="s">
        <v>266</v>
      </c>
      <c r="AF3" t="s">
        <v>288</v>
      </c>
      <c r="AG3" t="s">
        <v>1049</v>
      </c>
      <c r="AH3" t="s">
        <v>1050</v>
      </c>
      <c r="AI3" t="s">
        <v>320</v>
      </c>
      <c r="AJ3" t="s">
        <v>368</v>
      </c>
      <c r="AK3" t="s">
        <v>1051</v>
      </c>
      <c r="AL3" t="s">
        <v>1052</v>
      </c>
      <c r="AM3" t="s">
        <v>1053</v>
      </c>
      <c r="AN3" t="s">
        <v>1054</v>
      </c>
      <c r="AO3" t="s">
        <v>202</v>
      </c>
      <c r="AP3" t="s">
        <v>1055</v>
      </c>
      <c r="AQ3" t="s">
        <v>250</v>
      </c>
      <c r="AR3" t="s">
        <v>250</v>
      </c>
      <c r="AS3" t="s">
        <v>1056</v>
      </c>
      <c r="AT3" t="s">
        <v>1057</v>
      </c>
      <c r="AU3" t="s">
        <v>993</v>
      </c>
      <c r="AV3" t="s">
        <v>1058</v>
      </c>
      <c r="AW3" t="s">
        <v>1059</v>
      </c>
      <c r="AX3" t="s">
        <v>998</v>
      </c>
      <c r="AY3" t="s">
        <v>1060</v>
      </c>
      <c r="AZ3" t="s">
        <v>1061</v>
      </c>
      <c r="BA3" t="s">
        <v>429</v>
      </c>
      <c r="BB3" t="s">
        <v>991</v>
      </c>
      <c r="BC3" t="s">
        <v>1062</v>
      </c>
      <c r="BD3" t="s">
        <v>314</v>
      </c>
      <c r="BE3" t="s">
        <v>291</v>
      </c>
      <c r="BF3" t="s">
        <v>306</v>
      </c>
      <c r="BG3" t="s">
        <v>189</v>
      </c>
      <c r="BH3" t="s">
        <v>216</v>
      </c>
      <c r="BI3" t="s">
        <v>1050</v>
      </c>
      <c r="BJ3" t="s">
        <v>432</v>
      </c>
      <c r="BK3" t="s">
        <v>1063</v>
      </c>
      <c r="BL3" t="s">
        <v>988</v>
      </c>
      <c r="BM3" t="s">
        <v>1064</v>
      </c>
      <c r="BN3" t="s">
        <v>372</v>
      </c>
      <c r="BO3" t="s">
        <v>1065</v>
      </c>
      <c r="BP3" t="s">
        <v>429</v>
      </c>
      <c r="BQ3" t="s">
        <v>448</v>
      </c>
      <c r="BR3" t="s">
        <v>1066</v>
      </c>
      <c r="BS3" t="s">
        <v>1005</v>
      </c>
      <c r="BT3" t="s">
        <v>1067</v>
      </c>
      <c r="BU3" t="s">
        <v>1068</v>
      </c>
      <c r="BV3" t="s">
        <v>1069</v>
      </c>
      <c r="BW3" t="s">
        <v>1070</v>
      </c>
      <c r="BX3" t="s">
        <v>1071</v>
      </c>
      <c r="BY3" t="s">
        <v>1058</v>
      </c>
      <c r="BZ3" t="s">
        <v>1051</v>
      </c>
      <c r="CA3" t="s">
        <v>1072</v>
      </c>
      <c r="CB3" t="s">
        <v>1073</v>
      </c>
      <c r="CC3" t="s">
        <v>1074</v>
      </c>
      <c r="CD3" t="s">
        <v>1075</v>
      </c>
      <c r="CE3" t="s">
        <v>272</v>
      </c>
      <c r="CF3" t="s">
        <v>1076</v>
      </c>
      <c r="CG3" t="s">
        <v>1077</v>
      </c>
      <c r="CH3" t="s">
        <v>1078</v>
      </c>
      <c r="CI3" t="s">
        <v>1078</v>
      </c>
    </row>
    <row r="4" spans="1:87" x14ac:dyDescent="0.2">
      <c r="A4" t="s">
        <v>1079</v>
      </c>
      <c r="B4" t="s">
        <v>1080</v>
      </c>
      <c r="C4" t="s">
        <v>202</v>
      </c>
      <c r="D4" t="s">
        <v>1081</v>
      </c>
      <c r="E4" t="s">
        <v>451</v>
      </c>
      <c r="F4" t="s">
        <v>1082</v>
      </c>
      <c r="G4" t="s">
        <v>1083</v>
      </c>
      <c r="H4" t="s">
        <v>1084</v>
      </c>
      <c r="I4" t="s">
        <v>1000</v>
      </c>
      <c r="J4" t="s">
        <v>414</v>
      </c>
      <c r="K4" t="s">
        <v>1085</v>
      </c>
      <c r="L4" t="s">
        <v>1086</v>
      </c>
      <c r="M4" t="s">
        <v>1087</v>
      </c>
      <c r="N4" t="s">
        <v>288</v>
      </c>
      <c r="O4" t="s">
        <v>1088</v>
      </c>
      <c r="P4" t="s">
        <v>1089</v>
      </c>
      <c r="Q4" t="s">
        <v>1090</v>
      </c>
      <c r="R4" t="s">
        <v>314</v>
      </c>
      <c r="S4" t="s">
        <v>314</v>
      </c>
      <c r="T4" t="s">
        <v>1005</v>
      </c>
      <c r="U4" t="s">
        <v>1091</v>
      </c>
      <c r="V4" t="s">
        <v>1092</v>
      </c>
      <c r="W4" t="s">
        <v>1093</v>
      </c>
      <c r="X4" t="s">
        <v>1094</v>
      </c>
      <c r="Y4" t="s">
        <v>429</v>
      </c>
      <c r="Z4" t="s">
        <v>1095</v>
      </c>
      <c r="AA4" t="s">
        <v>1080</v>
      </c>
      <c r="AB4" t="s">
        <v>1096</v>
      </c>
      <c r="AC4" t="s">
        <v>1097</v>
      </c>
      <c r="AD4" t="s">
        <v>1098</v>
      </c>
      <c r="AE4" t="s">
        <v>1099</v>
      </c>
      <c r="AF4" t="s">
        <v>250</v>
      </c>
      <c r="AG4" t="s">
        <v>1100</v>
      </c>
      <c r="AH4" t="s">
        <v>1045</v>
      </c>
      <c r="AI4" t="s">
        <v>1101</v>
      </c>
      <c r="AJ4" t="s">
        <v>320</v>
      </c>
      <c r="AK4" t="s">
        <v>1102</v>
      </c>
      <c r="AL4" t="s">
        <v>284</v>
      </c>
      <c r="AM4" t="s">
        <v>1103</v>
      </c>
      <c r="AN4" t="s">
        <v>1104</v>
      </c>
      <c r="AO4" t="s">
        <v>993</v>
      </c>
      <c r="AP4" t="s">
        <v>1105</v>
      </c>
      <c r="AQ4" t="s">
        <v>429</v>
      </c>
      <c r="AR4" t="s">
        <v>429</v>
      </c>
      <c r="AS4" t="s">
        <v>1106</v>
      </c>
      <c r="AT4" t="s">
        <v>1107</v>
      </c>
      <c r="AU4" t="s">
        <v>1108</v>
      </c>
      <c r="AV4" t="s">
        <v>429</v>
      </c>
      <c r="AW4" t="s">
        <v>1109</v>
      </c>
      <c r="AX4" t="s">
        <v>441</v>
      </c>
      <c r="AY4" t="s">
        <v>1110</v>
      </c>
      <c r="AZ4" t="s">
        <v>372</v>
      </c>
      <c r="BA4" t="s">
        <v>1111</v>
      </c>
      <c r="BB4" t="s">
        <v>314</v>
      </c>
      <c r="BC4" t="s">
        <v>1026</v>
      </c>
      <c r="BD4" t="s">
        <v>1045</v>
      </c>
      <c r="BE4" t="s">
        <v>1050</v>
      </c>
      <c r="BF4" t="s">
        <v>998</v>
      </c>
      <c r="BG4" t="s">
        <v>1112</v>
      </c>
      <c r="BH4" t="s">
        <v>1054</v>
      </c>
      <c r="BI4" t="s">
        <v>1113</v>
      </c>
      <c r="BJ4" t="s">
        <v>1114</v>
      </c>
      <c r="BK4" t="s">
        <v>1059</v>
      </c>
      <c r="BL4" t="s">
        <v>1115</v>
      </c>
      <c r="BM4" t="s">
        <v>1116</v>
      </c>
      <c r="BN4" t="s">
        <v>1117</v>
      </c>
      <c r="BO4" t="s">
        <v>1118</v>
      </c>
      <c r="BP4" t="s">
        <v>1119</v>
      </c>
      <c r="BQ4" t="s">
        <v>1120</v>
      </c>
      <c r="BR4" t="s">
        <v>1121</v>
      </c>
      <c r="BS4" t="s">
        <v>1104</v>
      </c>
      <c r="BT4" t="s">
        <v>1122</v>
      </c>
      <c r="BU4" t="s">
        <v>1076</v>
      </c>
      <c r="BV4" t="s">
        <v>1016</v>
      </c>
      <c r="BW4" t="s">
        <v>1016</v>
      </c>
      <c r="BX4" t="s">
        <v>1093</v>
      </c>
      <c r="BY4" t="s">
        <v>257</v>
      </c>
      <c r="BZ4" t="s">
        <v>1123</v>
      </c>
      <c r="CA4" t="s">
        <v>1124</v>
      </c>
      <c r="CB4" t="s">
        <v>1125</v>
      </c>
      <c r="CC4" t="s">
        <v>1016</v>
      </c>
      <c r="CD4" t="s">
        <v>1126</v>
      </c>
      <c r="CE4" t="s">
        <v>1127</v>
      </c>
      <c r="CF4" t="s">
        <v>1128</v>
      </c>
      <c r="CG4" t="s">
        <v>1129</v>
      </c>
      <c r="CH4" t="s">
        <v>1130</v>
      </c>
      <c r="CI4" t="s">
        <v>1131</v>
      </c>
    </row>
    <row r="5" spans="1:87" x14ac:dyDescent="0.2">
      <c r="A5" t="s">
        <v>441</v>
      </c>
      <c r="B5" t="s">
        <v>1132</v>
      </c>
      <c r="C5" t="s">
        <v>1101</v>
      </c>
      <c r="D5" t="s">
        <v>337</v>
      </c>
      <c r="E5" t="s">
        <v>1133</v>
      </c>
      <c r="F5" t="s">
        <v>1134</v>
      </c>
      <c r="G5" t="s">
        <v>1135</v>
      </c>
      <c r="H5" t="s">
        <v>337</v>
      </c>
      <c r="I5" t="s">
        <v>306</v>
      </c>
      <c r="J5" t="s">
        <v>1136</v>
      </c>
      <c r="K5" t="s">
        <v>1137</v>
      </c>
      <c r="L5" t="s">
        <v>1138</v>
      </c>
      <c r="M5" t="s">
        <v>1139</v>
      </c>
      <c r="N5" t="s">
        <v>1115</v>
      </c>
      <c r="O5" t="s">
        <v>1140</v>
      </c>
      <c r="P5" t="s">
        <v>1016</v>
      </c>
      <c r="Q5" t="s">
        <v>1141</v>
      </c>
      <c r="R5" t="s">
        <v>337</v>
      </c>
      <c r="S5" t="s">
        <v>217</v>
      </c>
      <c r="T5" t="s">
        <v>1104</v>
      </c>
      <c r="U5" t="s">
        <v>1050</v>
      </c>
      <c r="V5" t="s">
        <v>337</v>
      </c>
      <c r="W5" t="s">
        <v>1076</v>
      </c>
      <c r="X5" t="s">
        <v>337</v>
      </c>
      <c r="Y5" t="s">
        <v>1142</v>
      </c>
      <c r="Z5" t="s">
        <v>337</v>
      </c>
      <c r="AA5" t="s">
        <v>1143</v>
      </c>
      <c r="AB5" t="s">
        <v>1144</v>
      </c>
      <c r="AC5" t="s">
        <v>1087</v>
      </c>
      <c r="AD5" t="s">
        <v>1145</v>
      </c>
      <c r="AE5" t="s">
        <v>1010</v>
      </c>
      <c r="AF5" t="s">
        <v>1146</v>
      </c>
      <c r="AG5" t="s">
        <v>337</v>
      </c>
      <c r="AH5" t="s">
        <v>223</v>
      </c>
      <c r="AI5" t="s">
        <v>389</v>
      </c>
      <c r="AJ5" t="s">
        <v>1147</v>
      </c>
      <c r="AK5" t="s">
        <v>1148</v>
      </c>
      <c r="AL5" t="s">
        <v>1149</v>
      </c>
      <c r="AM5" t="s">
        <v>337</v>
      </c>
      <c r="AN5" t="s">
        <v>1150</v>
      </c>
      <c r="AO5" t="s">
        <v>314</v>
      </c>
      <c r="AP5" t="s">
        <v>1151</v>
      </c>
      <c r="AQ5" t="s">
        <v>1052</v>
      </c>
      <c r="AR5" t="s">
        <v>1152</v>
      </c>
      <c r="AS5" t="s">
        <v>217</v>
      </c>
      <c r="AT5" t="s">
        <v>1153</v>
      </c>
      <c r="AU5" t="s">
        <v>1154</v>
      </c>
      <c r="AV5" t="s">
        <v>1155</v>
      </c>
      <c r="AW5" t="s">
        <v>348</v>
      </c>
      <c r="AX5" t="s">
        <v>348</v>
      </c>
      <c r="AY5" t="s">
        <v>1156</v>
      </c>
      <c r="AZ5" t="s">
        <v>1154</v>
      </c>
      <c r="BA5" t="s">
        <v>1149</v>
      </c>
      <c r="BB5" t="s">
        <v>337</v>
      </c>
      <c r="BC5" t="s">
        <v>1154</v>
      </c>
      <c r="BD5" t="s">
        <v>337</v>
      </c>
      <c r="BE5" t="s">
        <v>993</v>
      </c>
      <c r="BF5" t="s">
        <v>1157</v>
      </c>
      <c r="BG5" t="s">
        <v>1076</v>
      </c>
      <c r="BH5" t="s">
        <v>1104</v>
      </c>
      <c r="BI5" t="s">
        <v>1045</v>
      </c>
      <c r="BJ5" t="s">
        <v>1158</v>
      </c>
      <c r="BK5" t="s">
        <v>320</v>
      </c>
      <c r="BL5" t="s">
        <v>1159</v>
      </c>
      <c r="BM5" t="s">
        <v>1160</v>
      </c>
      <c r="BN5" t="s">
        <v>320</v>
      </c>
      <c r="BO5" t="s">
        <v>1101</v>
      </c>
      <c r="BP5" t="s">
        <v>1161</v>
      </c>
      <c r="BQ5" t="s">
        <v>1162</v>
      </c>
      <c r="BR5" t="s">
        <v>1163</v>
      </c>
      <c r="BS5" t="s">
        <v>1164</v>
      </c>
      <c r="BT5" t="s">
        <v>1165</v>
      </c>
      <c r="BU5" t="s">
        <v>1016</v>
      </c>
      <c r="BV5" t="s">
        <v>372</v>
      </c>
      <c r="BW5" t="s">
        <v>372</v>
      </c>
      <c r="BX5" t="s">
        <v>250</v>
      </c>
      <c r="BY5" t="s">
        <v>1050</v>
      </c>
      <c r="BZ5" t="s">
        <v>1166</v>
      </c>
      <c r="CA5" t="s">
        <v>1167</v>
      </c>
      <c r="CB5" t="s">
        <v>1168</v>
      </c>
      <c r="CC5" t="s">
        <v>1169</v>
      </c>
      <c r="CD5" t="s">
        <v>1170</v>
      </c>
      <c r="CE5" t="s">
        <v>372</v>
      </c>
      <c r="CF5" t="s">
        <v>459</v>
      </c>
      <c r="CG5" t="s">
        <v>337</v>
      </c>
      <c r="CH5" t="s">
        <v>1062</v>
      </c>
      <c r="CI5" t="s">
        <v>1102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8"/>
  <sheetViews>
    <sheetView workbookViewId="0"/>
  </sheetViews>
  <sheetFormatPr defaultColWidth="9.140625" defaultRowHeight="12.75" x14ac:dyDescent="0.2"/>
  <sheetData>
    <row r="1" spans="1:2" x14ac:dyDescent="0.2">
      <c r="A1" t="s">
        <v>14</v>
      </c>
      <c r="B1" t="s">
        <v>757</v>
      </c>
    </row>
    <row r="2" spans="1:2" x14ac:dyDescent="0.2">
      <c r="A2" t="s">
        <v>219</v>
      </c>
      <c r="B2" t="s">
        <v>1171</v>
      </c>
    </row>
    <row r="3" spans="1:2" x14ac:dyDescent="0.2">
      <c r="A3" t="s">
        <v>319</v>
      </c>
      <c r="B3" t="s">
        <v>1172</v>
      </c>
    </row>
    <row r="4" spans="1:2" x14ac:dyDescent="0.2">
      <c r="A4" t="s">
        <v>410</v>
      </c>
      <c r="B4" t="s">
        <v>1173</v>
      </c>
    </row>
    <row r="5" spans="1:2" x14ac:dyDescent="0.2">
      <c r="A5" t="s">
        <v>336</v>
      </c>
      <c r="B5" t="s">
        <v>336</v>
      </c>
    </row>
    <row r="6" spans="1:2" x14ac:dyDescent="0.2">
      <c r="A6" t="s">
        <v>458</v>
      </c>
      <c r="B6" t="s">
        <v>458</v>
      </c>
    </row>
    <row r="7" spans="1:2" x14ac:dyDescent="0.2">
      <c r="A7" t="s">
        <v>256</v>
      </c>
      <c r="B7" t="s">
        <v>1174</v>
      </c>
    </row>
    <row r="8" spans="1:2" x14ac:dyDescent="0.2">
      <c r="A8" t="s">
        <v>391</v>
      </c>
      <c r="B8" t="s">
        <v>1175</v>
      </c>
    </row>
    <row r="9" spans="1:2" x14ac:dyDescent="0.2">
      <c r="A9" t="s">
        <v>206</v>
      </c>
      <c r="B9" t="s">
        <v>206</v>
      </c>
    </row>
    <row r="10" spans="1:2" x14ac:dyDescent="0.2">
      <c r="A10" t="s">
        <v>167</v>
      </c>
      <c r="B10" t="s">
        <v>1176</v>
      </c>
    </row>
    <row r="11" spans="1:2" x14ac:dyDescent="0.2">
      <c r="A11" t="s">
        <v>418</v>
      </c>
      <c r="B11" t="s">
        <v>418</v>
      </c>
    </row>
    <row r="12" spans="1:2" x14ac:dyDescent="0.2">
      <c r="A12" t="s">
        <v>447</v>
      </c>
      <c r="B12" t="s">
        <v>447</v>
      </c>
    </row>
    <row r="13" spans="1:2" x14ac:dyDescent="0.2">
      <c r="A13" t="s">
        <v>216</v>
      </c>
      <c r="B13" t="s">
        <v>216</v>
      </c>
    </row>
    <row r="14" spans="1:2" x14ac:dyDescent="0.2">
      <c r="A14" t="s">
        <v>201</v>
      </c>
      <c r="B14" t="s">
        <v>1177</v>
      </c>
    </row>
    <row r="15" spans="1:2" x14ac:dyDescent="0.2">
      <c r="A15" t="s">
        <v>287</v>
      </c>
      <c r="B15" t="s">
        <v>1178</v>
      </c>
    </row>
    <row r="16" spans="1:2" x14ac:dyDescent="0.2">
      <c r="A16" t="s">
        <v>298</v>
      </c>
      <c r="B16" t="s">
        <v>1179</v>
      </c>
    </row>
    <row r="17" spans="1:2" x14ac:dyDescent="0.2">
      <c r="A17" t="s">
        <v>332</v>
      </c>
      <c r="B17" t="s">
        <v>1180</v>
      </c>
    </row>
    <row r="18" spans="1:2" x14ac:dyDescent="0.2">
      <c r="A18" t="s">
        <v>363</v>
      </c>
      <c r="B18" t="s">
        <v>1181</v>
      </c>
    </row>
    <row r="19" spans="1:2" x14ac:dyDescent="0.2">
      <c r="A19" t="s">
        <v>225</v>
      </c>
      <c r="B19" t="s">
        <v>1182</v>
      </c>
    </row>
    <row r="20" spans="1:2" x14ac:dyDescent="0.2">
      <c r="A20" t="s">
        <v>205</v>
      </c>
      <c r="B20" t="s">
        <v>1183</v>
      </c>
    </row>
    <row r="21" spans="1:2" x14ac:dyDescent="0.2">
      <c r="A21" t="s">
        <v>209</v>
      </c>
      <c r="B21" t="s">
        <v>1184</v>
      </c>
    </row>
    <row r="22" spans="1:2" x14ac:dyDescent="0.2">
      <c r="A22" t="s">
        <v>265</v>
      </c>
      <c r="B22" t="s">
        <v>1185</v>
      </c>
    </row>
    <row r="23" spans="1:2" x14ac:dyDescent="0.2">
      <c r="A23" t="s">
        <v>262</v>
      </c>
      <c r="B23" t="s">
        <v>1186</v>
      </c>
    </row>
    <row r="24" spans="1:2" x14ac:dyDescent="0.2">
      <c r="A24" t="s">
        <v>326</v>
      </c>
      <c r="B24" t="s">
        <v>1187</v>
      </c>
    </row>
    <row r="25" spans="1:2" x14ac:dyDescent="0.2">
      <c r="A25" t="s">
        <v>385</v>
      </c>
      <c r="B25" t="s">
        <v>385</v>
      </c>
    </row>
    <row r="26" spans="1:2" x14ac:dyDescent="0.2">
      <c r="A26" t="s">
        <v>360</v>
      </c>
      <c r="B26" t="s">
        <v>1188</v>
      </c>
    </row>
    <row r="27" spans="1:2" x14ac:dyDescent="0.2">
      <c r="A27" t="s">
        <v>357</v>
      </c>
      <c r="B27" t="s">
        <v>1189</v>
      </c>
    </row>
    <row r="28" spans="1:2" x14ac:dyDescent="0.2">
      <c r="A28" t="s">
        <v>394</v>
      </c>
      <c r="B28" t="s">
        <v>394</v>
      </c>
    </row>
    <row r="29" spans="1:2" x14ac:dyDescent="0.2">
      <c r="A29" t="s">
        <v>434</v>
      </c>
      <c r="B29" t="s">
        <v>434</v>
      </c>
    </row>
    <row r="30" spans="1:2" x14ac:dyDescent="0.2">
      <c r="A30" t="s">
        <v>343</v>
      </c>
      <c r="B30" t="s">
        <v>1190</v>
      </c>
    </row>
    <row r="31" spans="1:2" x14ac:dyDescent="0.2">
      <c r="A31" t="s">
        <v>455</v>
      </c>
      <c r="B31" t="s">
        <v>1191</v>
      </c>
    </row>
    <row r="32" spans="1:2" x14ac:dyDescent="0.2">
      <c r="A32" t="s">
        <v>401</v>
      </c>
      <c r="B32" t="s">
        <v>1192</v>
      </c>
    </row>
    <row r="33" spans="1:2" x14ac:dyDescent="0.2">
      <c r="A33" t="s">
        <v>283</v>
      </c>
      <c r="B33" t="s">
        <v>1193</v>
      </c>
    </row>
    <row r="34" spans="1:2" x14ac:dyDescent="0.2">
      <c r="A34" t="s">
        <v>438</v>
      </c>
      <c r="B34" t="s">
        <v>438</v>
      </c>
    </row>
    <row r="35" spans="1:2" x14ac:dyDescent="0.2">
      <c r="A35" t="s">
        <v>222</v>
      </c>
      <c r="B35" t="s">
        <v>1194</v>
      </c>
    </row>
    <row r="36" spans="1:2" x14ac:dyDescent="0.2">
      <c r="A36" t="s">
        <v>370</v>
      </c>
      <c r="B36" t="s">
        <v>1195</v>
      </c>
    </row>
    <row r="37" spans="1:2" x14ac:dyDescent="0.2">
      <c r="A37" t="s">
        <v>372</v>
      </c>
      <c r="B37" t="s">
        <v>372</v>
      </c>
    </row>
    <row r="38" spans="1:2" x14ac:dyDescent="0.2">
      <c r="A38" t="s">
        <v>301</v>
      </c>
      <c r="B38" t="s">
        <v>1196</v>
      </c>
    </row>
    <row r="39" spans="1:2" x14ac:dyDescent="0.2">
      <c r="A39" t="s">
        <v>339</v>
      </c>
      <c r="B39" t="s">
        <v>339</v>
      </c>
    </row>
    <row r="40" spans="1:2" x14ac:dyDescent="0.2">
      <c r="A40" t="s">
        <v>426</v>
      </c>
      <c r="B40" t="s">
        <v>1197</v>
      </c>
    </row>
    <row r="41" spans="1:2" x14ac:dyDescent="0.2">
      <c r="A41" t="s">
        <v>311</v>
      </c>
      <c r="B41" t="s">
        <v>1198</v>
      </c>
    </row>
    <row r="42" spans="1:2" x14ac:dyDescent="0.2">
      <c r="A42" t="s">
        <v>345</v>
      </c>
      <c r="B42" t="s">
        <v>1199</v>
      </c>
    </row>
    <row r="43" spans="1:2" x14ac:dyDescent="0.2">
      <c r="A43" t="s">
        <v>295</v>
      </c>
      <c r="B43" t="s">
        <v>295</v>
      </c>
    </row>
    <row r="44" spans="1:2" x14ac:dyDescent="0.2">
      <c r="A44" t="s">
        <v>329</v>
      </c>
      <c r="B44" t="s">
        <v>1200</v>
      </c>
    </row>
    <row r="45" spans="1:2" x14ac:dyDescent="0.2">
      <c r="A45" t="s">
        <v>436</v>
      </c>
      <c r="B45" t="s">
        <v>436</v>
      </c>
    </row>
    <row r="46" spans="1:2" x14ac:dyDescent="0.2">
      <c r="A46" t="s">
        <v>253</v>
      </c>
      <c r="B46" t="s">
        <v>1201</v>
      </c>
    </row>
    <row r="47" spans="1:2" x14ac:dyDescent="0.2">
      <c r="A47" t="s">
        <v>440</v>
      </c>
      <c r="B47" t="s">
        <v>440</v>
      </c>
    </row>
    <row r="48" spans="1:2" x14ac:dyDescent="0.2">
      <c r="A48" t="s">
        <v>398</v>
      </c>
      <c r="B48" t="s">
        <v>1202</v>
      </c>
    </row>
    <row r="49" spans="1:2" x14ac:dyDescent="0.2">
      <c r="A49" t="s">
        <v>228</v>
      </c>
      <c r="B49" t="s">
        <v>1203</v>
      </c>
    </row>
    <row r="50" spans="1:2" x14ac:dyDescent="0.2">
      <c r="A50" t="s">
        <v>293</v>
      </c>
      <c r="B50" t="s">
        <v>1204</v>
      </c>
    </row>
    <row r="51" spans="1:2" x14ac:dyDescent="0.2">
      <c r="A51" t="s">
        <v>428</v>
      </c>
      <c r="B51" t="s">
        <v>1205</v>
      </c>
    </row>
    <row r="52" spans="1:2" x14ac:dyDescent="0.2">
      <c r="A52" t="s">
        <v>378</v>
      </c>
      <c r="B52" t="s">
        <v>1206</v>
      </c>
    </row>
    <row r="53" spans="1:2" x14ac:dyDescent="0.2">
      <c r="A53" t="s">
        <v>407</v>
      </c>
      <c r="B53" t="s">
        <v>1207</v>
      </c>
    </row>
    <row r="54" spans="1:2" x14ac:dyDescent="0.2">
      <c r="A54" t="s">
        <v>305</v>
      </c>
      <c r="B54" t="s">
        <v>1208</v>
      </c>
    </row>
    <row r="55" spans="1:2" x14ac:dyDescent="0.2">
      <c r="A55" t="s">
        <v>281</v>
      </c>
      <c r="B55" t="s">
        <v>1209</v>
      </c>
    </row>
    <row r="56" spans="1:2" x14ac:dyDescent="0.2">
      <c r="A56" t="s">
        <v>404</v>
      </c>
      <c r="B56" t="s">
        <v>1210</v>
      </c>
    </row>
    <row r="57" spans="1:2" x14ac:dyDescent="0.2">
      <c r="A57" t="s">
        <v>313</v>
      </c>
      <c r="B57" t="s">
        <v>1211</v>
      </c>
    </row>
    <row r="58" spans="1:2" x14ac:dyDescent="0.2">
      <c r="A58" t="s">
        <v>271</v>
      </c>
      <c r="B58" t="s">
        <v>271</v>
      </c>
    </row>
    <row r="59" spans="1:2" x14ac:dyDescent="0.2">
      <c r="A59" t="s">
        <v>445</v>
      </c>
      <c r="B59" t="s">
        <v>445</v>
      </c>
    </row>
    <row r="60" spans="1:2" x14ac:dyDescent="0.2">
      <c r="A60" t="s">
        <v>422</v>
      </c>
      <c r="B60" t="s">
        <v>422</v>
      </c>
    </row>
    <row r="61" spans="1:2" x14ac:dyDescent="0.2">
      <c r="A61" t="s">
        <v>259</v>
      </c>
      <c r="B61" t="s">
        <v>1212</v>
      </c>
    </row>
    <row r="62" spans="1:2" x14ac:dyDescent="0.2">
      <c r="A62" t="s">
        <v>347</v>
      </c>
      <c r="B62" t="s">
        <v>1213</v>
      </c>
    </row>
    <row r="63" spans="1:2" x14ac:dyDescent="0.2">
      <c r="A63" t="s">
        <v>322</v>
      </c>
      <c r="B63" t="s">
        <v>1214</v>
      </c>
    </row>
    <row r="64" spans="1:2" x14ac:dyDescent="0.2">
      <c r="A64" t="s">
        <v>290</v>
      </c>
      <c r="B64" t="s">
        <v>1215</v>
      </c>
    </row>
    <row r="65" spans="1:2" x14ac:dyDescent="0.2">
      <c r="A65" t="s">
        <v>431</v>
      </c>
      <c r="B65" t="s">
        <v>1216</v>
      </c>
    </row>
    <row r="66" spans="1:2" x14ac:dyDescent="0.2">
      <c r="A66" t="s">
        <v>413</v>
      </c>
      <c r="B66" t="s">
        <v>1217</v>
      </c>
    </row>
    <row r="67" spans="1:2" x14ac:dyDescent="0.2">
      <c r="A67" t="s">
        <v>367</v>
      </c>
      <c r="B67" t="s">
        <v>1218</v>
      </c>
    </row>
    <row r="68" spans="1:2" x14ac:dyDescent="0.2">
      <c r="A68" t="s">
        <v>382</v>
      </c>
      <c r="B68" t="s">
        <v>1219</v>
      </c>
    </row>
    <row r="69" spans="1:2" x14ac:dyDescent="0.2">
      <c r="A69" t="s">
        <v>316</v>
      </c>
      <c r="B69" t="s">
        <v>1220</v>
      </c>
    </row>
    <row r="70" spans="1:2" x14ac:dyDescent="0.2">
      <c r="A70" t="s">
        <v>242</v>
      </c>
      <c r="B70" t="s">
        <v>1221</v>
      </c>
    </row>
    <row r="71" spans="1:2" x14ac:dyDescent="0.2">
      <c r="A71" t="s">
        <v>246</v>
      </c>
      <c r="B71" t="s">
        <v>1222</v>
      </c>
    </row>
    <row r="72" spans="1:2" x14ac:dyDescent="0.2">
      <c r="A72" t="s">
        <v>268</v>
      </c>
      <c r="B72" t="s">
        <v>268</v>
      </c>
    </row>
    <row r="73" spans="1:2" x14ac:dyDescent="0.2">
      <c r="A73" t="s">
        <v>443</v>
      </c>
      <c r="B73" t="s">
        <v>1223</v>
      </c>
    </row>
    <row r="74" spans="1:2" x14ac:dyDescent="0.2">
      <c r="A74" t="s">
        <v>451</v>
      </c>
      <c r="B74" t="s">
        <v>451</v>
      </c>
    </row>
    <row r="75" spans="1:2" x14ac:dyDescent="0.2">
      <c r="A75" t="s">
        <v>172</v>
      </c>
      <c r="B75" t="s">
        <v>172</v>
      </c>
    </row>
    <row r="76" spans="1:2" x14ac:dyDescent="0.2">
      <c r="A76" t="s">
        <v>353</v>
      </c>
      <c r="B76" t="s">
        <v>1224</v>
      </c>
    </row>
    <row r="77" spans="1:2" x14ac:dyDescent="0.2">
      <c r="A77" t="s">
        <v>308</v>
      </c>
      <c r="B77" t="s">
        <v>1225</v>
      </c>
    </row>
    <row r="78" spans="1:2" x14ac:dyDescent="0.2">
      <c r="A78" t="s">
        <v>249</v>
      </c>
      <c r="B78" t="s">
        <v>1226</v>
      </c>
    </row>
    <row r="79" spans="1:2" x14ac:dyDescent="0.2">
      <c r="A79" t="s">
        <v>231</v>
      </c>
      <c r="B79" t="s">
        <v>1227</v>
      </c>
    </row>
    <row r="80" spans="1:2" x14ac:dyDescent="0.2">
      <c r="A80" t="s">
        <v>416</v>
      </c>
      <c r="B80" t="s">
        <v>1228</v>
      </c>
    </row>
    <row r="81" spans="1:2" x14ac:dyDescent="0.2">
      <c r="A81" t="s">
        <v>278</v>
      </c>
      <c r="B81" t="s">
        <v>1229</v>
      </c>
    </row>
    <row r="82" spans="1:2" x14ac:dyDescent="0.2">
      <c r="A82" t="s">
        <v>375</v>
      </c>
      <c r="B82" t="s">
        <v>1230</v>
      </c>
    </row>
    <row r="83" spans="1:2" x14ac:dyDescent="0.2">
      <c r="A83" t="s">
        <v>421</v>
      </c>
      <c r="B83" t="s">
        <v>1231</v>
      </c>
    </row>
    <row r="84" spans="1:2" x14ac:dyDescent="0.2">
      <c r="A84" t="s">
        <v>388</v>
      </c>
      <c r="B84" t="s">
        <v>1232</v>
      </c>
    </row>
    <row r="85" spans="1:2" x14ac:dyDescent="0.2">
      <c r="A85" t="s">
        <v>461</v>
      </c>
      <c r="B85" t="s">
        <v>461</v>
      </c>
    </row>
    <row r="86" spans="1:2" x14ac:dyDescent="0.2">
      <c r="A86" t="s">
        <v>274</v>
      </c>
      <c r="B86" t="s">
        <v>1233</v>
      </c>
    </row>
    <row r="87" spans="1:2" x14ac:dyDescent="0.2">
      <c r="A87" t="s">
        <v>238</v>
      </c>
      <c r="B87" t="s">
        <v>1234</v>
      </c>
    </row>
    <row r="88" spans="1:2" x14ac:dyDescent="0.2">
      <c r="A88" t="s">
        <v>350</v>
      </c>
      <c r="B88" t="s">
        <v>1235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ColWidth="9.140625" defaultRowHeight="12.75" x14ac:dyDescent="0.2"/>
  <sheetData>
    <row r="1" spans="1:2" x14ac:dyDescent="0.2">
      <c r="A1" t="s">
        <v>1236</v>
      </c>
      <c r="B1" t="s">
        <v>757</v>
      </c>
    </row>
    <row r="2" spans="1:2" x14ac:dyDescent="0.2">
      <c r="A2" t="s">
        <v>381</v>
      </c>
      <c r="B2" t="s">
        <v>1237</v>
      </c>
    </row>
    <row r="3" spans="1:2" x14ac:dyDescent="0.2">
      <c r="A3" t="s">
        <v>397</v>
      </c>
      <c r="B3" t="s">
        <v>1238</v>
      </c>
    </row>
    <row r="4" spans="1:2" x14ac:dyDescent="0.2">
      <c r="A4" t="s">
        <v>356</v>
      </c>
      <c r="B4" t="s">
        <v>1239</v>
      </c>
    </row>
    <row r="5" spans="1:2" x14ac:dyDescent="0.2">
      <c r="A5" t="s">
        <v>342</v>
      </c>
      <c r="B5" t="s">
        <v>342</v>
      </c>
    </row>
    <row r="6" spans="1:2" x14ac:dyDescent="0.2">
      <c r="A6" t="s">
        <v>261</v>
      </c>
      <c r="B6" t="s">
        <v>1240</v>
      </c>
    </row>
    <row r="7" spans="1:2" x14ac:dyDescent="0.2">
      <c r="A7" t="s">
        <v>200</v>
      </c>
      <c r="B7" t="s">
        <v>200</v>
      </c>
    </row>
    <row r="8" spans="1:2" x14ac:dyDescent="0.2">
      <c r="A8" t="s">
        <v>366</v>
      </c>
      <c r="B8" t="s">
        <v>366</v>
      </c>
    </row>
    <row r="9" spans="1:2" x14ac:dyDescent="0.2">
      <c r="A9" t="s">
        <v>425</v>
      </c>
      <c r="B9" t="s">
        <v>1241</v>
      </c>
    </row>
    <row r="10" spans="1:2" x14ac:dyDescent="0.2">
      <c r="A10" t="s">
        <v>52</v>
      </c>
      <c r="B10"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283</vt:i4>
      </vt:variant>
    </vt:vector>
  </HeadingPairs>
  <TitlesOfParts>
    <vt:vector size="304" baseType="lpstr">
      <vt:lpstr>RA Form</vt:lpstr>
      <vt:lpstr>Sheet1</vt:lpstr>
      <vt:lpstr>Action Tracker</vt:lpstr>
      <vt:lpstr>Tablas Guia</vt:lpstr>
      <vt:lpstr>Tablas EPP</vt:lpstr>
      <vt:lpstr>Tabla Guia de Peligros</vt:lpstr>
      <vt:lpstr>example Hazards &amp;aspects</vt:lpstr>
      <vt:lpstr>example consequences &amp; impacts</vt:lpstr>
      <vt:lpstr>Example ASPECTs</vt:lpstr>
      <vt:lpstr>DD - Parts of the Body</vt:lpstr>
      <vt:lpstr>DD - PPE</vt:lpstr>
      <vt:lpstr>DD - CONTROLS</vt:lpstr>
      <vt:lpstr>INSTRUCTIONS</vt:lpstr>
      <vt:lpstr>Listas_Riesgos</vt:lpstr>
      <vt:lpstr>Listas_Controles</vt:lpstr>
      <vt:lpstr>Map_Controles</vt:lpstr>
      <vt:lpstr>Listas_EPP</vt:lpstr>
      <vt:lpstr>Map_EPP</vt:lpstr>
      <vt:lpstr>Listas_Consecuencias</vt:lpstr>
      <vt:lpstr>Map_Consecuencias</vt:lpstr>
      <vt:lpstr>Map_Riesgos</vt:lpstr>
      <vt:lpstr>Abrasion_friccion</vt:lpstr>
      <vt:lpstr>Abrasion_friccion_ctrl</vt:lpstr>
      <vt:lpstr>Abrasion_friccion_epp</vt:lpstr>
      <vt:lpstr>Actividad_de_terceros</vt:lpstr>
      <vt:lpstr>Actividad_de_terceros_ctrl</vt:lpstr>
      <vt:lpstr>Actividad_de_terceros_epp</vt:lpstr>
      <vt:lpstr>Actividades_de_trabajo</vt:lpstr>
      <vt:lpstr>Agarre_deficiente</vt:lpstr>
      <vt:lpstr>Agarre_deficiente_ctrl</vt:lpstr>
      <vt:lpstr>Agarre_deficiente_epp</vt:lpstr>
      <vt:lpstr>Ahogamiento</vt:lpstr>
      <vt:lpstr>Ahogamiento_ctrl</vt:lpstr>
      <vt:lpstr>Ahogamiento_epp</vt:lpstr>
      <vt:lpstr>Allanamiento</vt:lpstr>
      <vt:lpstr>Allanamiento_ctrl</vt:lpstr>
      <vt:lpstr>Allanamiento_epp</vt:lpstr>
      <vt:lpstr>Alta_o_baja_presion</vt:lpstr>
      <vt:lpstr>Alta_o_baja_presion_ctrl</vt:lpstr>
      <vt:lpstr>Alta_o_baja_presion_epp</vt:lpstr>
      <vt:lpstr>Animales_plantas</vt:lpstr>
      <vt:lpstr>Animales_plantas_ctrl</vt:lpstr>
      <vt:lpstr>Animales_plantas_epp</vt:lpstr>
      <vt:lpstr>Aplastamiento</vt:lpstr>
      <vt:lpstr>Aplastamiento_ctrl</vt:lpstr>
      <vt:lpstr>Aplastamiento_epp</vt:lpstr>
      <vt:lpstr>Arco_electrico</vt:lpstr>
      <vt:lpstr>Arco_electrico_ctrl</vt:lpstr>
      <vt:lpstr>Arco_electrico_epp</vt:lpstr>
      <vt:lpstr>Arrodillarse</vt:lpstr>
      <vt:lpstr>Arrodillarse_ctrl</vt:lpstr>
      <vt:lpstr>Arrodillarse_epp</vt:lpstr>
      <vt:lpstr>Asbesto</vt:lpstr>
      <vt:lpstr>Asbesto_ctrl</vt:lpstr>
      <vt:lpstr>Asbesto_epp</vt:lpstr>
      <vt:lpstr>Atrapamiento</vt:lpstr>
      <vt:lpstr>Atrapamiento_ctrl</vt:lpstr>
      <vt:lpstr>Atrapamiento_epp</vt:lpstr>
      <vt:lpstr>Bordes_afilados</vt:lpstr>
      <vt:lpstr>Bordes_afilados_ctrl</vt:lpstr>
      <vt:lpstr>Bordes_afilados_epp</vt:lpstr>
      <vt:lpstr>Caida_a_nivel</vt:lpstr>
      <vt:lpstr>Caida_a_nivel_ctrl</vt:lpstr>
      <vt:lpstr>Caida_a_nivel_epp</vt:lpstr>
      <vt:lpstr>Caidas_de_altura</vt:lpstr>
      <vt:lpstr>Caidas_de_altura_ctrl</vt:lpstr>
      <vt:lpstr>Caidas_de_altura_epp</vt:lpstr>
      <vt:lpstr>Calidad_del_aire</vt:lpstr>
      <vt:lpstr>Calidad_del_aire_ctrl</vt:lpstr>
      <vt:lpstr>Calidad_del_aire_epp</vt:lpstr>
      <vt:lpstr>Calor_excesivo</vt:lpstr>
      <vt:lpstr>Calor_excesivo_ctrl</vt:lpstr>
      <vt:lpstr>Calor_excesivo_epp</vt:lpstr>
      <vt:lpstr>Campos_electromagneticos</vt:lpstr>
      <vt:lpstr>Campos_electromagneticos_ctrl</vt:lpstr>
      <vt:lpstr>Campos_electromagneticos_epp</vt:lpstr>
      <vt:lpstr>Carga_electrostatica</vt:lpstr>
      <vt:lpstr>Carga_electrostatica_ctrl</vt:lpstr>
      <vt:lpstr>Carga_electrostatica_epp</vt:lpstr>
      <vt:lpstr>Carga_suspendida</vt:lpstr>
      <vt:lpstr>Carga_suspendida_ctrl</vt:lpstr>
      <vt:lpstr>Carga_suspendida_epp</vt:lpstr>
      <vt:lpstr>Cargas_en_movimiento</vt:lpstr>
      <vt:lpstr>Cargas_en_movimiento_ctrl</vt:lpstr>
      <vt:lpstr>Cargas_en_movimiento_epp</vt:lpstr>
      <vt:lpstr>Cargas_inestables</vt:lpstr>
      <vt:lpstr>Cargas_inestables_ctrl</vt:lpstr>
      <vt:lpstr>Cargas_inestables_epp</vt:lpstr>
      <vt:lpstr>Clima_extremo</vt:lpstr>
      <vt:lpstr>Clima_extremo_ctrl</vt:lpstr>
      <vt:lpstr>Clima_extremo_epp</vt:lpstr>
      <vt:lpstr>Conducir</vt:lpstr>
      <vt:lpstr>Conducir_ctrl</vt:lpstr>
      <vt:lpstr>Conducir_epp</vt:lpstr>
      <vt:lpstr>Conductores_danados</vt:lpstr>
      <vt:lpstr>Conductores_danados_ctrl</vt:lpstr>
      <vt:lpstr>Conductores_danados_epp</vt:lpstr>
      <vt:lpstr>Conductores_energizados</vt:lpstr>
      <vt:lpstr>Conductores_energizados_ctrl</vt:lpstr>
      <vt:lpstr>Conductores_energizados_epp</vt:lpstr>
      <vt:lpstr>Contratistas</vt:lpstr>
      <vt:lpstr>Contratistas_ctrl</vt:lpstr>
      <vt:lpstr>Contratistas_epp</vt:lpstr>
      <vt:lpstr>Corporal</vt:lpstr>
      <vt:lpstr>Corrosivos</vt:lpstr>
      <vt:lpstr>Corrosivos_ctrl</vt:lpstr>
      <vt:lpstr>Corrosivos_epp</vt:lpstr>
      <vt:lpstr>Cuchillas_puntas</vt:lpstr>
      <vt:lpstr>Cuchillas_puntas_ctrl</vt:lpstr>
      <vt:lpstr>Cuchillas_puntas_epp</vt:lpstr>
      <vt:lpstr>Dano_a_propiedad</vt:lpstr>
      <vt:lpstr>Dano_a_propiedad_ctrl</vt:lpstr>
      <vt:lpstr>Dano_a_propiedad_epp</vt:lpstr>
      <vt:lpstr>Electrico</vt:lpstr>
      <vt:lpstr>Empuje_jalon</vt:lpstr>
      <vt:lpstr>Empuje_jalon_ctrl</vt:lpstr>
      <vt:lpstr>Empuje_jalon_epp</vt:lpstr>
      <vt:lpstr>Env_or_H_S</vt:lpstr>
      <vt:lpstr>Env_or_H_S_ctrl</vt:lpstr>
      <vt:lpstr>Env_or_H_S_epp</vt:lpstr>
      <vt:lpstr>Ergonomia</vt:lpstr>
      <vt:lpstr>Espacio_confinado</vt:lpstr>
      <vt:lpstr>Espacio_confinado_ctrl</vt:lpstr>
      <vt:lpstr>Espacio_confinado_epp</vt:lpstr>
      <vt:lpstr>Explosivos</vt:lpstr>
      <vt:lpstr>Explosivos_ctrl</vt:lpstr>
      <vt:lpstr>Explosivos_epp</vt:lpstr>
      <vt:lpstr>Eyeccion_de_material</vt:lpstr>
      <vt:lpstr>Eyeccion_de_material_ctrl</vt:lpstr>
      <vt:lpstr>Eyeccion_de_material_epp</vt:lpstr>
      <vt:lpstr>Falta_de_familiaridad</vt:lpstr>
      <vt:lpstr>Falta_de_familiaridad_ctrl</vt:lpstr>
      <vt:lpstr>Falta_de_familiaridad_epp</vt:lpstr>
      <vt:lpstr>Fatiga</vt:lpstr>
      <vt:lpstr>Fatiga_ctrl</vt:lpstr>
      <vt:lpstr>Fatiga_epp</vt:lpstr>
      <vt:lpstr>Frio_extremo</vt:lpstr>
      <vt:lpstr>Frio_extremo_ctrl</vt:lpstr>
      <vt:lpstr>Frio_extremo_epp</vt:lpstr>
      <vt:lpstr>Fuego</vt:lpstr>
      <vt:lpstr>Fuego_ctrl</vt:lpstr>
      <vt:lpstr>Fuego_epp</vt:lpstr>
      <vt:lpstr>Gases_toxicos</vt:lpstr>
      <vt:lpstr>Gases_toxicos_ctrl</vt:lpstr>
      <vt:lpstr>Gases_toxicos_epp</vt:lpstr>
      <vt:lpstr>Golpes_con_objetos</vt:lpstr>
      <vt:lpstr>Golpes_con_objetos_ctrl</vt:lpstr>
      <vt:lpstr>Golpes_con_objetos_epp</vt:lpstr>
      <vt:lpstr>Herramientas</vt:lpstr>
      <vt:lpstr>Herramientas_Ergonomia</vt:lpstr>
      <vt:lpstr>Herramientas_manuales</vt:lpstr>
      <vt:lpstr>Herramientas_manuales_ctrl</vt:lpstr>
      <vt:lpstr>Herramientas_manuales_epp</vt:lpstr>
      <vt:lpstr>Humedad</vt:lpstr>
      <vt:lpstr>Humedad_ctrl</vt:lpstr>
      <vt:lpstr>Humedad_epp</vt:lpstr>
      <vt:lpstr>Ignicion_accidental</vt:lpstr>
      <vt:lpstr>Ignicion_accidental_ctrl</vt:lpstr>
      <vt:lpstr>Ignicion_accidental_epp</vt:lpstr>
      <vt:lpstr>Inflamables</vt:lpstr>
      <vt:lpstr>Inflamables_ctrl</vt:lpstr>
      <vt:lpstr>Inflamables_epp</vt:lpstr>
      <vt:lpstr>Inyeccion_por_presion</vt:lpstr>
      <vt:lpstr>Inyeccion_por_presion_ctrl</vt:lpstr>
      <vt:lpstr>Inyeccion_por_presion_epp</vt:lpstr>
      <vt:lpstr>Irritantes</vt:lpstr>
      <vt:lpstr>Irritantes_ctrl</vt:lpstr>
      <vt:lpstr>Irritantes_epp</vt:lpstr>
      <vt:lpstr>Levantamiento_manual</vt:lpstr>
      <vt:lpstr>Levantamiento_manual_ctrl</vt:lpstr>
      <vt:lpstr>Levantamiento_manual_epp</vt:lpstr>
      <vt:lpstr>Liberacion_de_energia</vt:lpstr>
      <vt:lpstr>Liberacion_de_energia_ctrl</vt:lpstr>
      <vt:lpstr>Liberacion_de_energia_epp</vt:lpstr>
      <vt:lpstr>Liquidos_toxicos</vt:lpstr>
      <vt:lpstr>Liquidos_toxicos_ctrl</vt:lpstr>
      <vt:lpstr>Liquidos_toxicos_epp</vt:lpstr>
      <vt:lpstr>ListaCategoriasRiesgo</vt:lpstr>
      <vt:lpstr>Lugar_de_trabajo</vt:lpstr>
      <vt:lpstr>Luz_excesiva</vt:lpstr>
      <vt:lpstr>Luz_excesiva_ctrl</vt:lpstr>
      <vt:lpstr>Luz_excesiva_epp</vt:lpstr>
      <vt:lpstr>Mala_organizacion</vt:lpstr>
      <vt:lpstr>Mala_organizacion_ctrl</vt:lpstr>
      <vt:lpstr>Mala_organizacion_epp</vt:lpstr>
      <vt:lpstr>Mala_postura</vt:lpstr>
      <vt:lpstr>Mala_postura_ctrl</vt:lpstr>
      <vt:lpstr>Mala_postura_epp</vt:lpstr>
      <vt:lpstr>Material_combustible</vt:lpstr>
      <vt:lpstr>Material_combustible_ctrl</vt:lpstr>
      <vt:lpstr>Material_combustible_epp</vt:lpstr>
      <vt:lpstr>Materiales_suspendidos</vt:lpstr>
      <vt:lpstr>Materiales_suspendidos_ctrl</vt:lpstr>
      <vt:lpstr>Materiales_suspendidos_epp</vt:lpstr>
      <vt:lpstr>Mecanico</vt:lpstr>
      <vt:lpstr>Medio_Ambiente</vt:lpstr>
      <vt:lpstr>Medio_Ambiente_ctrl</vt:lpstr>
      <vt:lpstr>Movimientos_repetitivos</vt:lpstr>
      <vt:lpstr>Movimientos_repetitivos_ctrl</vt:lpstr>
      <vt:lpstr>Movimientos_repetitivos_epp</vt:lpstr>
      <vt:lpstr>Objetos_que_caen</vt:lpstr>
      <vt:lpstr>Objetos_que_caen_ctrl</vt:lpstr>
      <vt:lpstr>Objetos_que_caen_epp</vt:lpstr>
      <vt:lpstr>Obstrucciones</vt:lpstr>
      <vt:lpstr>Obstrucciones_ctrl</vt:lpstr>
      <vt:lpstr>Obstrucciones_epp</vt:lpstr>
      <vt:lpstr>'Tablas Guia'!OLE_LINK13</vt:lpstr>
      <vt:lpstr>Oxidantes</vt:lpstr>
      <vt:lpstr>Oxidantes_ctrl</vt:lpstr>
      <vt:lpstr>Oxidantes_epp</vt:lpstr>
      <vt:lpstr>Pandemia</vt:lpstr>
      <vt:lpstr>Pandemia_ctrl</vt:lpstr>
      <vt:lpstr>Pandemia_epp</vt:lpstr>
      <vt:lpstr>Partes_moviles</vt:lpstr>
      <vt:lpstr>Partes_moviles_ctrl</vt:lpstr>
      <vt:lpstr>Partes_moviles_epp</vt:lpstr>
      <vt:lpstr>Particulas_expulsadas</vt:lpstr>
      <vt:lpstr>Particulas_expulsadas_ctrl</vt:lpstr>
      <vt:lpstr>Particulas_expulsadas_epp</vt:lpstr>
      <vt:lpstr>partsofbody</vt:lpstr>
      <vt:lpstr>Patogenos</vt:lpstr>
      <vt:lpstr>Patogenos_ctrl</vt:lpstr>
      <vt:lpstr>Patogenos_epp</vt:lpstr>
      <vt:lpstr>Poca_iluminacion</vt:lpstr>
      <vt:lpstr>Poca_iluminacion_ctrl</vt:lpstr>
      <vt:lpstr>Poca_iluminacion_epp</vt:lpstr>
      <vt:lpstr>Polvos_toxicos</vt:lpstr>
      <vt:lpstr>Polvos_toxicos_ctrl</vt:lpstr>
      <vt:lpstr>Polvos_toxicos_epp</vt:lpstr>
      <vt:lpstr>Postura_prolongada</vt:lpstr>
      <vt:lpstr>Postura_prolongada_ctrl</vt:lpstr>
      <vt:lpstr>Postura_prolongada_epp</vt:lpstr>
      <vt:lpstr>PPE</vt:lpstr>
      <vt:lpstr>Presion_laboral</vt:lpstr>
      <vt:lpstr>Presion_laboral_ctrl</vt:lpstr>
      <vt:lpstr>Presion_laboral_epp</vt:lpstr>
      <vt:lpstr>Prueba_de_producto</vt:lpstr>
      <vt:lpstr>Prueba_de_producto_ctrl</vt:lpstr>
      <vt:lpstr>Prueba_de_producto_epp</vt:lpstr>
      <vt:lpstr>Psicosocial</vt:lpstr>
      <vt:lpstr>Quimicos</vt:lpstr>
      <vt:lpstr>Radiacion</vt:lpstr>
      <vt:lpstr>Radiacion_ctrl</vt:lpstr>
      <vt:lpstr>Radiacion_epp</vt:lpstr>
      <vt:lpstr>Radiacion_ionizante</vt:lpstr>
      <vt:lpstr>Radiacion_ionizante_ctrl</vt:lpstr>
      <vt:lpstr>Radiacion_ionizante_epp</vt:lpstr>
      <vt:lpstr>Radiacion_no_ionizante</vt:lpstr>
      <vt:lpstr>Radiacion_no_ionizante_ctrl</vt:lpstr>
      <vt:lpstr>Radiacion_no_ionizante_epp</vt:lpstr>
      <vt:lpstr>Resbalones</vt:lpstr>
      <vt:lpstr>Resbalones_ctrl</vt:lpstr>
      <vt:lpstr>Resbalones_epp</vt:lpstr>
      <vt:lpstr>Respiratorios_irritantes</vt:lpstr>
      <vt:lpstr>Respiratorios_irritantes_ctrl</vt:lpstr>
      <vt:lpstr>Respiratorios_irritantes_epp</vt:lpstr>
      <vt:lpstr>Robo</vt:lpstr>
      <vt:lpstr>Robo_ctrl</vt:lpstr>
      <vt:lpstr>Robo_epp</vt:lpstr>
      <vt:lpstr>Ruido</vt:lpstr>
      <vt:lpstr>Ruido_ctrl</vt:lpstr>
      <vt:lpstr>Ruido_epp</vt:lpstr>
      <vt:lpstr>Ruido_herramientas</vt:lpstr>
      <vt:lpstr>Ruido_herramientas_ctrl</vt:lpstr>
      <vt:lpstr>Ruido_herramientas_epp</vt:lpstr>
      <vt:lpstr>Salud_ctrl</vt:lpstr>
      <vt:lpstr>Seguridad</vt:lpstr>
      <vt:lpstr>Seguridad_ctrl</vt:lpstr>
      <vt:lpstr>Servicios_desconocidos</vt:lpstr>
      <vt:lpstr>Servicios_desconocidos_ctrl</vt:lpstr>
      <vt:lpstr>Servicios_desconocidos_epp</vt:lpstr>
      <vt:lpstr>Sistema_de_presion</vt:lpstr>
      <vt:lpstr>Sistema_de_presion_ctrl</vt:lpstr>
      <vt:lpstr>Sistema_de_presion_epp</vt:lpstr>
      <vt:lpstr>Superficie_caliente_fria</vt:lpstr>
      <vt:lpstr>Superficie_caliente_fria_ctrl</vt:lpstr>
      <vt:lpstr>Superficie_caliente_fria_epp</vt:lpstr>
      <vt:lpstr>Torsion</vt:lpstr>
      <vt:lpstr>Torsion_ctrl</vt:lpstr>
      <vt:lpstr>Torsion_epp</vt:lpstr>
      <vt:lpstr>Trabajo_en_altura</vt:lpstr>
      <vt:lpstr>Trabajo_en_altura_ctrl</vt:lpstr>
      <vt:lpstr>Trabajo_en_altura_epp</vt:lpstr>
      <vt:lpstr>Trabajo_en_solitario</vt:lpstr>
      <vt:lpstr>Trabajo_en_solitario_ctrl</vt:lpstr>
      <vt:lpstr>Trabajo_en_solitario_epp</vt:lpstr>
      <vt:lpstr>Trabajo_estatico</vt:lpstr>
      <vt:lpstr>Trabajo_estatico_ctrl</vt:lpstr>
      <vt:lpstr>Trabajo_estatico_epp</vt:lpstr>
      <vt:lpstr>Trabajo_movil</vt:lpstr>
      <vt:lpstr>Trabajo_movil_ctrl</vt:lpstr>
      <vt:lpstr>Trabajo_movil_epp</vt:lpstr>
      <vt:lpstr>Vandalismo</vt:lpstr>
      <vt:lpstr>Vandalismo_ctrl</vt:lpstr>
      <vt:lpstr>Vandalismo_epp</vt:lpstr>
      <vt:lpstr>Vehiculos_trafico</vt:lpstr>
      <vt:lpstr>Vehiculos_trafico_ctrl</vt:lpstr>
      <vt:lpstr>Vehiculos_trafico_epp</vt:lpstr>
      <vt:lpstr>Vibracion</vt:lpstr>
      <vt:lpstr>Vibracion_ctrl</vt:lpstr>
      <vt:lpstr>Vibracion_epp</vt:lpstr>
      <vt:lpstr>Vibracion_herramientas</vt:lpstr>
      <vt:lpstr>Vibracion_herramientas_ctrl</vt:lpstr>
      <vt:lpstr>Vibracion_herramientas_epp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Guajana_Skyers@jabil.com;Alejandro Torres</dc:creator>
  <cp:keywords/>
  <dc:description/>
  <cp:lastModifiedBy>svccor_jdoc</cp:lastModifiedBy>
  <cp:revision/>
  <dcterms:created xsi:type="dcterms:W3CDTF">2007-12-17T15:40:03Z</dcterms:created>
  <dcterms:modified xsi:type="dcterms:W3CDTF">2026-02-17T03:22:54Z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raining">
    <vt:lpwstr>,</vt:lpwstr>
  </property>
  <property fmtid="{D5CDD505-2E9C-101B-9397-08002B2CF9AE}" pid="4" name="Category0">
    <vt:lpwstr/>
  </property>
  <property fmtid="{D5CDD505-2E9C-101B-9397-08002B2CF9AE}" pid="5" name="ContentTypeId">
    <vt:lpwstr>0x0101003006A9C23AE7384E8D375ABEF0956BBC</vt:lpwstr>
  </property>
  <property fmtid="{D5CDD505-2E9C-101B-9397-08002B2CF9AE}" pid="6" name="display_urn:schemas-microsoft-com:office:office#SharedWithUsers">
    <vt:lpwstr>Chad McClimans</vt:lpwstr>
  </property>
  <property fmtid="{D5CDD505-2E9C-101B-9397-08002B2CF9AE}" pid="7" name="SharedWithUsers">
    <vt:lpwstr>6;#Chad McClimans</vt:lpwstr>
  </property>
  <property fmtid="{D5CDD505-2E9C-101B-9397-08002B2CF9AE}" pid="8" name="JDOC_STAT">
    <vt:lpwstr>RELEASED</vt:lpwstr>
  </property>
  <property fmtid="{D5CDD505-2E9C-101B-9397-08002B2CF9AE}" pid="9" name="JDOC_NUM">
    <vt:lpwstr>16-HS80-8000-00019</vt:lpwstr>
  </property>
  <property fmtid="{D5CDD505-2E9C-101B-9397-08002B2CF9AE}" pid="10" name="JDOC_REV">
    <vt:lpwstr>C</vt:lpwstr>
  </property>
  <property fmtid="{D5CDD505-2E9C-101B-9397-08002B2CF9AE}" pid="11" name="JDOC_TITLE">
    <vt:lpwstr>Analisis de riesgos para tareas</vt:lpwstr>
  </property>
  <property fmtid="{D5CDD505-2E9C-101B-9397-08002B2CF9AE}" pid="12" name="JDOC_NOTES">
    <vt:lpwstr>20260211-185241-4119837-NOTES Se actualiza el formato local debido a actualización del formato del estándar corportativo con nueva revisión     </vt:lpwstr>
  </property>
  <property fmtid="{D5CDD505-2E9C-101B-9397-08002B2CF9AE}" pid="13" name="JDOC_AUTHID">
    <vt:lpwstr>4119837</vt:lpwstr>
  </property>
  <property fmtid="{D5CDD505-2E9C-101B-9397-08002B2CF9AE}" pid="14" name="JDOC_AUTHNAME">
    <vt:lpwstr>Naiade,Cruces</vt:lpwstr>
  </property>
  <property fmtid="{D5CDD505-2E9C-101B-9397-08002B2CF9AE}" pid="15" name="JDOC_OWNID">
    <vt:lpwstr>3405021</vt:lpwstr>
  </property>
  <property fmtid="{D5CDD505-2E9C-101B-9397-08002B2CF9AE}" pid="16" name="JDOC_OWNNAME">
    <vt:lpwstr>TANHIA,CORDOBA</vt:lpwstr>
  </property>
  <property fmtid="{D5CDD505-2E9C-101B-9397-08002B2CF9AE}" pid="17" name="JDOC_FUNC">
    <vt:lpwstr/>
  </property>
  <property fmtid="{D5CDD505-2E9C-101B-9397-08002B2CF9AE}" pid="18" name="JDOC_CR_DT">
    <vt:lpwstr>11 FEB 2026</vt:lpwstr>
  </property>
  <property fmtid="{D5CDD505-2E9C-101B-9397-08002B2CF9AE}" pid="19" name="JDOC_RL_DT">
    <vt:lpwstr>16 FEB 2026</vt:lpwstr>
  </property>
  <property fmtid="{D5CDD505-2E9C-101B-9397-08002B2CF9AE}" pid="20" name="JDOC_EF_DT">
    <vt:lpwstr>16 FEB 2026</vt:lpwstr>
  </property>
  <property fmtid="{D5CDD505-2E9C-101B-9397-08002B2CF9AE}" pid="21" name="JDOC_EX_DT">
    <vt:lpwstr>16 FEB 2026</vt:lpwstr>
  </property>
  <property fmtid="{D5CDD505-2E9C-101B-9397-08002B2CF9AE}" pid="22" name="JDOC_RV_DT">
    <vt:lpwstr>16 FEB 2026</vt:lpwstr>
  </property>
  <property fmtid="{D5CDD505-2E9C-101B-9397-08002B2CF9AE}" pid="23" name="JDOC_CUST">
    <vt:lpwstr>ALL PLANT</vt:lpwstr>
  </property>
  <property fmtid="{D5CDD505-2E9C-101B-9397-08002B2CF9AE}" pid="24" name="JDOC_WKCL">
    <vt:lpwstr/>
  </property>
  <property fmtid="{D5CDD505-2E9C-101B-9397-08002B2CF9AE}" pid="25" name="JDOC_FIELD01">
    <vt:lpwstr/>
  </property>
  <property fmtid="{D5CDD505-2E9C-101B-9397-08002B2CF9AE}" pid="26" name="JDOC_FIELD02">
    <vt:lpwstr/>
  </property>
  <property fmtid="{D5CDD505-2E9C-101B-9397-08002B2CF9AE}" pid="27" name="JDOC_FIELD03">
    <vt:lpwstr/>
  </property>
  <property fmtid="{D5CDD505-2E9C-101B-9397-08002B2CF9AE}" pid="28" name="JDOC_FIELD04">
    <vt:lpwstr/>
  </property>
  <property fmtid="{D5CDD505-2E9C-101B-9397-08002B2CF9AE}" pid="29" name="JDOC_FIELD05">
    <vt:lpwstr/>
  </property>
  <property fmtid="{D5CDD505-2E9C-101B-9397-08002B2CF9AE}" pid="30" name="JDOC_FIELD06">
    <vt:lpwstr/>
  </property>
  <property fmtid="{D5CDD505-2E9C-101B-9397-08002B2CF9AE}" pid="31" name="JDOC_FIELD07">
    <vt:lpwstr/>
  </property>
  <property fmtid="{D5CDD505-2E9C-101B-9397-08002B2CF9AE}" pid="32" name="JDOC_FIELD08">
    <vt:lpwstr/>
  </property>
  <property fmtid="{D5CDD505-2E9C-101B-9397-08002B2CF9AE}" pid="33" name="JDOC_FIELD09">
    <vt:lpwstr/>
  </property>
  <property fmtid="{D5CDD505-2E9C-101B-9397-08002B2CF9AE}" pid="34" name="JDOC_FIELD10">
    <vt:lpwstr/>
  </property>
</Properties>
</file>