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WorkPackages\PRD - 010\0E7E3A2646331FE182EF7606C92B36FC\in\"/>
    </mc:Choice>
  </mc:AlternateContent>
  <xr:revisionPtr revIDLastSave="0" documentId="8_{F924BB51-F1F4-4822-8AF0-B100ABEC18A9}" xr6:coauthVersionLast="47" xr6:coauthVersionMax="47" xr10:uidLastSave="{00000000-0000-0000-0000-000000000000}"/>
  <bookViews>
    <workbookView minimized="1" xWindow="540" yWindow="480" windowWidth="18195" windowHeight="14145" xr2:uid="{00000000-000D-0000-FFFF-FFFF00000000}"/>
  </bookViews>
  <sheets>
    <sheet name="RA Form" sheetId="1" r:id="rId1"/>
    <sheet name="Sheet1" sheetId="2" state="hidden" r:id="rId2"/>
    <sheet name="Action Tracker" sheetId="21" r:id="rId3"/>
    <sheet name="Tablas Guia" sheetId="3" r:id="rId4"/>
    <sheet name="Tablas EPP" sheetId="4" state="hidden" r:id="rId5"/>
    <sheet name="Tabla Guia de Peligros" sheetId="5" r:id="rId6"/>
    <sheet name="example Hazards &amp;aspects" sheetId="6" state="hidden" r:id="rId7"/>
    <sheet name="example consequences &amp; impacts" sheetId="7" state="hidden" r:id="rId8"/>
    <sheet name="Example ASPECTs" sheetId="8" state="hidden" r:id="rId9"/>
    <sheet name="DD - Parts of the Body" sheetId="9" state="hidden" r:id="rId10"/>
    <sheet name="DD - PPE" sheetId="10" state="hidden" r:id="rId11"/>
    <sheet name="DD - CONTROLS" sheetId="11" state="hidden" r:id="rId12"/>
    <sheet name="INSTRUCTIONS" sheetId="12" state="hidden" r:id="rId13"/>
    <sheet name="Listas_Riesgos" sheetId="13" state="hidden" r:id="rId14"/>
    <sheet name="Listas_Controles" sheetId="14" state="hidden" r:id="rId15"/>
    <sheet name="Map_Controles" sheetId="15" state="hidden" r:id="rId16"/>
    <sheet name="Listas_EPP" sheetId="16" state="hidden" r:id="rId17"/>
    <sheet name="Map_EPP" sheetId="17" state="hidden" r:id="rId18"/>
    <sheet name="Listas_Consecuencias" sheetId="18" state="hidden" r:id="rId19"/>
    <sheet name="Map_Consecuencias" sheetId="19" state="hidden" r:id="rId20"/>
    <sheet name="Map_Riesgos" sheetId="20" state="hidden" r:id="rId21"/>
  </sheets>
  <definedNames>
    <definedName name="_xlnm._FilterDatabase" localSheetId="5" hidden="1">'Tabla Guia de Peligros'!$A$1:$F$88</definedName>
    <definedName name="Abrasion_friccion">Listas_Consecuencias!$A$2:$A$5</definedName>
    <definedName name="Abrasion_friccion_ctrl">Listas_Controles!$A$2:$A$4</definedName>
    <definedName name="Abrasion_friccion_epp">Listas_EPP!$A$2:$A$4</definedName>
    <definedName name="Actividad_de_terceros">Listas_Consecuencias!$B$2:$B$5</definedName>
    <definedName name="Actividad_de_terceros_ctrl">Listas_Controles!$B$2:$B$4</definedName>
    <definedName name="Actividad_de_terceros_epp">Listas_EPP!$B$2:$B$4</definedName>
    <definedName name="Actividades_de_trabajo">Listas_Riesgos!$A$2:$A$6</definedName>
    <definedName name="Agarre_deficiente">Listas_Consecuencias!$C$2:$C$5</definedName>
    <definedName name="Agarre_deficiente_ctrl">Listas_Controles!$C$2:$C$2</definedName>
    <definedName name="Agarre_deficiente_epp">Listas_EPP!$C$2:$C$4</definedName>
    <definedName name="Ahogamiento">Listas_Consecuencias!$D$2:$D$5</definedName>
    <definedName name="Ahogamiento_ctrl">Listas_Controles!$D$2:$D$4</definedName>
    <definedName name="Ahogamiento_epp">Listas_EPP!$D$2:$D$4</definedName>
    <definedName name="Allanamiento">Listas_Consecuencias!$E$2:$E$5</definedName>
    <definedName name="Allanamiento_ctrl">Listas_Controles!$E$2:$E$3</definedName>
    <definedName name="Allanamiento_epp">Listas_EPP!$E$2:$E$3</definedName>
    <definedName name="Alta_o_baja_presion">Listas_Consecuencias!$F$2:$F$5</definedName>
    <definedName name="Alta_o_baja_presion_ctrl">Listas_Controles!$F$2:$F$4</definedName>
    <definedName name="Alta_o_baja_presion_epp">Listas_EPP!$F$2:$F$4</definedName>
    <definedName name="Animales_plantas">Listas_Consecuencias!$G$2:$G$5</definedName>
    <definedName name="Animales_plantas_ctrl">Listas_Controles!$G$2:$G$3</definedName>
    <definedName name="Animales_plantas_epp">Listas_EPP!$G$2:$G$4</definedName>
    <definedName name="Aplastamiento">Listas_Consecuencias!$H$2:$H$5</definedName>
    <definedName name="Aplastamiento_ctrl">Listas_Controles!$H$2:$H$5</definedName>
    <definedName name="Aplastamiento_epp">Listas_EPP!$H$2:$H$4</definedName>
    <definedName name="Arco_electrico">Listas_Consecuencias!$I$2:$I$5</definedName>
    <definedName name="Arco_electrico_ctrl">Listas_Controles!$I$2:$I$3</definedName>
    <definedName name="Arco_electrico_epp">Listas_EPP!$I$2:$I$5</definedName>
    <definedName name="Arrodillarse">Listas_Consecuencias!$J$2:$J$5</definedName>
    <definedName name="Arrodillarse_ctrl">Listas_Controles!$J$2:$J$3</definedName>
    <definedName name="Arrodillarse_epp">Listas_EPP!$J$2:$J$4</definedName>
    <definedName name="Asbesto">Listas_Consecuencias!$K$2:$K$5</definedName>
    <definedName name="Asbesto_ctrl">Listas_Controles!$K$2:$K$3</definedName>
    <definedName name="Asbesto_epp">Listas_EPP!$K$2:$K$5</definedName>
    <definedName name="Atrapamiento">Listas_Consecuencias!$L$2:$L$5</definedName>
    <definedName name="Atrapamiento_ctrl">Listas_Controles!$L$2:$L$5</definedName>
    <definedName name="Atrapamiento_epp">Listas_EPP!$L$2:$L$4</definedName>
    <definedName name="Bordes_afilados">Listas_Consecuencias!$M$2:$M$5</definedName>
    <definedName name="Bordes_afilados_ctrl">Listas_Controles!$M$2:$M$5</definedName>
    <definedName name="Bordes_afilados_epp">Listas_EPP!$M$2:$M$4</definedName>
    <definedName name="Caida_a_nivel">Listas_Consecuencias!$U$2:$U$5</definedName>
    <definedName name="Caida_a_nivel_ctrl">Listas_Controles!$U$2:$U$4</definedName>
    <definedName name="Caida_a_nivel_epp">Listas_EPP!$U$2:$U$4</definedName>
    <definedName name="Caidas_de_altura">Listas_Consecuencias!$V$2:$V$5</definedName>
    <definedName name="Caidas_de_altura_ctrl">Listas_Controles!$V$2:$V$5</definedName>
    <definedName name="Caidas_de_altura_epp">Listas_EPP!$V$2:$V$5</definedName>
    <definedName name="Calidad_del_aire">Listas_Consecuencias!$N$2:$N$5</definedName>
    <definedName name="Calidad_del_aire_ctrl">Listas_Controles!$N$2:$N$4</definedName>
    <definedName name="Calidad_del_aire_epp">Listas_EPP!$N$2:$N$4</definedName>
    <definedName name="Calor_excesivo">Listas_Consecuencias!$O$2:$O$5</definedName>
    <definedName name="Calor_excesivo_ctrl">Listas_Controles!$O$2:$O$4</definedName>
    <definedName name="Calor_excesivo_epp">Listas_EPP!$O$2:$O$5</definedName>
    <definedName name="Campos_electromagneticos">Listas_Consecuencias!$P$2:$P$5</definedName>
    <definedName name="Campos_electromagneticos_ctrl">Listas_Controles!$P$2:$P$3</definedName>
    <definedName name="Campos_electromagneticos_epp">Listas_EPP!$P$2:$P$3</definedName>
    <definedName name="Carga_electrostatica">Listas_Consecuencias!$Q$2:$Q$5</definedName>
    <definedName name="Carga_electrostatica_ctrl">Listas_Controles!$Q$2:$Q$3</definedName>
    <definedName name="Carga_electrostatica_epp">Listas_EPP!$Q$2:$Q$4</definedName>
    <definedName name="Carga_suspendida">Listas_Consecuencias!$R$2:$R$5</definedName>
    <definedName name="Carga_suspendida_ctrl">Listas_Controles!$R$2:$R$5</definedName>
    <definedName name="Carga_suspendida_epp">Listas_EPP!$R$2:$R$5</definedName>
    <definedName name="Cargas_en_movimiento">Listas_Consecuencias!$S$2:$S$5</definedName>
    <definedName name="Cargas_en_movimiento_ctrl">Listas_Controles!$S$2:$S$5</definedName>
    <definedName name="Cargas_en_movimiento_epp">Listas_EPP!$S$2:$S$5</definedName>
    <definedName name="Cargas_inestables">Listas_Consecuencias!$T$2:$T$5</definedName>
    <definedName name="Cargas_inestables_ctrl">Listas_Controles!$T$2:$T$4</definedName>
    <definedName name="Cargas_inestables_epp">Listas_EPP!$T$2:$T$5</definedName>
    <definedName name="Clima_extremo">Listas_Consecuencias!$W$2:$W$5</definedName>
    <definedName name="Clima_extremo_ctrl">Listas_Controles!$W$2:$W$3</definedName>
    <definedName name="Clima_extremo_epp">Listas_EPP!$W$2:$W$4</definedName>
    <definedName name="Condicion">Listas_Riesgos!#REF!</definedName>
    <definedName name="Conducir">Listas_Consecuencias!$X$2:$X$5</definedName>
    <definedName name="Conducir_ctrl">Listas_Controles!$X$2:$X$3</definedName>
    <definedName name="Conducir_epp">Listas_EPP!$X$2:$X$4</definedName>
    <definedName name="Conductores_danados">Listas_Consecuencias!$Y$2:$Y$5</definedName>
    <definedName name="Conductores_danados_ctrl">Listas_Controles!$Y$2:$Y$3</definedName>
    <definedName name="Conductores_danados_epp">Listas_EPP!$Y$2:$Y$5</definedName>
    <definedName name="Conductores_energizados">Listas_Consecuencias!$Z$2:$Z$5</definedName>
    <definedName name="Conductores_energizados_ctrl">Listas_Controles!$Z$2:$Z$4</definedName>
    <definedName name="Conductores_energizados_epp">Listas_EPP!$Z$2:$Z$5</definedName>
    <definedName name="Contratistas">Listas_Consecuencias!$AA$2:$AA$5</definedName>
    <definedName name="Contratistas_ctrl">Listas_Controles!$AA$2:$AA$3</definedName>
    <definedName name="Contratistas_epp">Listas_EPP!$AA$2:$AA$4</definedName>
    <definedName name="Corporal">Listas_Riesgos!$B$2:$B$8</definedName>
    <definedName name="Corrosivos">Listas_Consecuencias!$AB$2:$AB$5</definedName>
    <definedName name="Corrosivos_ctrl">Listas_Controles!$AB$2:$AB$3</definedName>
    <definedName name="Corrosivos_epp">Listas_EPP!$AB$2:$AB$4</definedName>
    <definedName name="Cuchillas_puntas">Listas_Consecuencias!$AC$2:$AC$5</definedName>
    <definedName name="Cuchillas_puntas_ctrl">Listas_Controles!$AC$2:$AC$3</definedName>
    <definedName name="Cuchillas_puntas_epp">Listas_EPP!$AC$2:$AC$4</definedName>
    <definedName name="Dano_a_propiedad">Listas_Consecuencias!$AD$2:$AD$5</definedName>
    <definedName name="Dano_a_propiedad_ctrl">Listas_Controles!$AD$2:$AD$3</definedName>
    <definedName name="Dano_a_propiedad_epp">Listas_EPP!$AD$2:$AD$3</definedName>
    <definedName name="Electrico">Listas_Riesgos!$C$2:$C$5</definedName>
    <definedName name="Emergencia">Listas_Riesgos!#REF!</definedName>
    <definedName name="Empuje_jalon">Listas_Consecuencias!$AE$2:$AE$5</definedName>
    <definedName name="Empuje_jalon_ctrl">Listas_Controles!$AE$2:$AE$3</definedName>
    <definedName name="Empuje_jalon_epp">Listas_EPP!$AE$2:$AE$4</definedName>
    <definedName name="Env_or_H_S">Listas_Consecuencias!$AF$2:$AF$2</definedName>
    <definedName name="Env_or_H_S_ctrl">Listas_Controles!$AF$2:$AF$2</definedName>
    <definedName name="Env_or_H_S_epp">Listas_EPP!$AF$2:$AF$2</definedName>
    <definedName name="Ergonomia">Listas_Riesgos!$B$2:$B$10</definedName>
    <definedName name="Espacio_confinado">Listas_Consecuencias!$AF$2:$AF$5</definedName>
    <definedName name="Espacio_confinado_ctrl">Listas_Controles!$AG$2:$AG$4</definedName>
    <definedName name="Espacio_confinado_epp">Listas_EPP!$AG$2:$AG$4</definedName>
    <definedName name="Explosivos">Listas_Consecuencias!$AG$2:$AG$5</definedName>
    <definedName name="Explosivos_ctrl">Listas_Controles!$AH$2:$AH$3</definedName>
    <definedName name="Explosivos_epp">Listas_EPP!$AH$2:$AH$5</definedName>
    <definedName name="Eyeccion_de_material">Listas_Consecuencias!$AH$2:$AH$5</definedName>
    <definedName name="Eyeccion_de_material_ctrl">Listas_Controles!$AI$2:$AI$4</definedName>
    <definedName name="Eyeccion_de_material_epp">Listas_EPP!$AI$2:$AI$4</definedName>
    <definedName name="Falta_de_familiaridad">Listas_Consecuencias!$AI$2:$AI$5</definedName>
    <definedName name="Falta_de_familiaridad_ctrl">Listas_Controles!$AJ$2:$AJ$3</definedName>
    <definedName name="Falta_de_familiaridad_epp">Listas_EPP!$AJ$2:$AJ$4</definedName>
    <definedName name="Fatiga">Listas_Consecuencias!$AJ$2:$AJ$5</definedName>
    <definedName name="Fatiga_ctrl">Listas_Controles!$AK$2:$AK$3</definedName>
    <definedName name="Fatiga_epp">Listas_EPP!$AK$2:$AK$4</definedName>
    <definedName name="Frio_extremo">Listas_Consecuencias!$AK$2:$AK$5</definedName>
    <definedName name="Frio_extremo_ctrl">Listas_Controles!$AL$2:$AL$4</definedName>
    <definedName name="Frio_extremo_epp">Listas_EPP!$AL$2:$AL$3</definedName>
    <definedName name="Fuego">Listas_Consecuencias!$AL$2:$AL$5</definedName>
    <definedName name="Fuego_ctrl">Listas_Controles!$AM$2:$AM$4</definedName>
    <definedName name="Fuego_epp">Listas_EPP!$AM$2:$AM$4</definedName>
    <definedName name="Gases_toxicos">Listas_Consecuencias!$AM$2:$AM$5</definedName>
    <definedName name="Gases_toxicos_ctrl">Listas_Controles!$AN$2:$AN$4</definedName>
    <definedName name="Gases_toxicos_epp">Listas_EPP!$AN$2:$AN$4</definedName>
    <definedName name="Golpes_con_objetos">Listas_Consecuencias!$AN$2:$AN$5</definedName>
    <definedName name="Golpes_con_objetos_ctrl">Listas_Controles!$AO$2:$AO$3</definedName>
    <definedName name="Golpes_con_objetos_epp">Listas_EPP!$AO$2:$AO$4</definedName>
    <definedName name="Hazard">#REF!</definedName>
    <definedName name="Herramientas">Listas_Riesgos!$D$2:$D$8</definedName>
    <definedName name="Herramientas_Ergonomia">Listas_Riesgos!$D$2:$D$8</definedName>
    <definedName name="Herramientas_manuales">Listas_Consecuencias!$AO$2:$AO$5</definedName>
    <definedName name="Herramientas_manuales_ctrl">Listas_Controles!$AP$2:$AP$3</definedName>
    <definedName name="Herramientas_manuales_epp">Listas_EPP!$AP$2:$AP$5</definedName>
    <definedName name="Humedad">Listas_Consecuencias!$AP$2:$AP$5</definedName>
    <definedName name="Humedad_ctrl">Listas_Controles!$AQ$2:$AQ$3</definedName>
    <definedName name="Humedad_epp">Listas_EPP!$AQ$2:$AQ$5</definedName>
    <definedName name="Ignicion_accidental">Listas_Consecuencias!$AQ$2:$AQ$5</definedName>
    <definedName name="Ignicion_accidental_ctrl">Listas_Controles!$AR$2:$AR$3</definedName>
    <definedName name="Ignicion_accidental_epp">Listas_EPP!$AR$2:$AR$5</definedName>
    <definedName name="Inflamables">Listas_Consecuencias!$AR$2:$AR$5</definedName>
    <definedName name="Inflamables_ctrl">Listas_Controles!$AS$2:$AS$3</definedName>
    <definedName name="Inflamables_epp">Listas_EPP!$AS$2:$AS$4</definedName>
    <definedName name="Inyeccion_por_presion">Listas_Consecuencias!$AS$2:$AS$5</definedName>
    <definedName name="Inyeccion_por_presion_ctrl">Listas_Controles!$AT$2:$AT$4</definedName>
    <definedName name="Inyeccion_por_presion_epp">Listas_EPP!$AT$2:$AT$4</definedName>
    <definedName name="Irritantes">Listas_Consecuencias!$AT$2:$AT$5</definedName>
    <definedName name="Irritantes_ctrl">Listas_Controles!$AU$2:$AU$3</definedName>
    <definedName name="Irritantes_epp">Listas_EPP!$AU$2:$AU$4</definedName>
    <definedName name="Levantamiento_manual">Listas_Consecuencias!$AU$2:$AU$5</definedName>
    <definedName name="Levantamiento_manual_ctrl">Listas_Controles!$AV$2:$AV$3</definedName>
    <definedName name="Levantamiento_manual_epp">Listas_EPP!$AV$2:$AV$4</definedName>
    <definedName name="Liberacion_de_energia">Listas_Consecuencias!$AV$2:$AV$5</definedName>
    <definedName name="Liberacion_de_energia_ctrl">Listas_Controles!$AW$2:$AW$4</definedName>
    <definedName name="Liberacion_de_energia_epp">Listas_EPP!$AW$2:$AW$4</definedName>
    <definedName name="Liquidos_toxicos">Listas_Consecuencias!$AX$2:$AX$5</definedName>
    <definedName name="Liquidos_toxicos_ctrl">Listas_Controles!$AY$2:$AY$3</definedName>
    <definedName name="Liquidos_toxicos_epp">Listas_EPP!$AY$2:$AY$4</definedName>
    <definedName name="ListaCategoriasRiesgo">Listas_Riesgos!$A$2001:$A$2009</definedName>
    <definedName name="Lugar_de_trabajo">Listas_Riesgos!$E$2:$E$27</definedName>
    <definedName name="Luz_excesiva">Listas_Consecuencias!$AW$2:$AW$5</definedName>
    <definedName name="Luz_excesiva_ctrl">Listas_Controles!$AX$2:$AX$3</definedName>
    <definedName name="Luz_excesiva_epp">Listas_EPP!$AX$2:$AX$4</definedName>
    <definedName name="Mala_organizacion">Listas_Consecuencias!$AY$2:$AY$5</definedName>
    <definedName name="Mala_organizacion_ctrl">Listas_Controles!$AZ$2:$AZ$3</definedName>
    <definedName name="Mala_organizacion_epp">Listas_EPP!$AZ$2:$AZ$4</definedName>
    <definedName name="Mala_postura">Listas_Consecuencias!$AZ$2:$AZ$5</definedName>
    <definedName name="Mala_postura_ctrl">Listas_Controles!$BA$2:$BA$3</definedName>
    <definedName name="Mala_postura_epp">Listas_EPP!$BA$2:$BA$4</definedName>
    <definedName name="Material_combustible">Listas_Consecuencias!$BA$2:$BA$5</definedName>
    <definedName name="Material_combustible_ctrl">Listas_Controles!$BB$2:$BB$4</definedName>
    <definedName name="Material_combustible_epp">Listas_EPP!$BB$2:$BB$4</definedName>
    <definedName name="Materiales_suspendidos">Listas_Consecuencias!$BB$2:$BB$5</definedName>
    <definedName name="Materiales_suspendidos_ctrl">Listas_Controles!$BC$2:$BC$4</definedName>
    <definedName name="Materiales_suspendidos_epp">Listas_EPP!$BC$2:$BC$5</definedName>
    <definedName name="Mecanico">Listas_Riesgos!$F$2:$F$19</definedName>
    <definedName name="Medio_Ambiente">Listas_Consecuencias!$BD$2:$BD$2</definedName>
    <definedName name="Medio_Ambiente_ctrl">Listas_Controles!$BD$2:$BD$2</definedName>
    <definedName name="Movimientos_repetitivos">Listas_Consecuencias!$BC$2:$BC$5</definedName>
    <definedName name="Movimientos_repetitivos_ctrl">Listas_Controles!$BE$2:$BE$3</definedName>
    <definedName name="Movimientos_repetitivos_epp">Listas_EPP!$BD$2:$BD$4</definedName>
    <definedName name="No_rutinario">Listas_Riesgos!#REF!</definedName>
    <definedName name="Objetos_que_caen">Listas_Consecuencias!$BD$2:$BD$5</definedName>
    <definedName name="Objetos_que_caen_ctrl">Listas_Controles!$BF$2:$BF$3</definedName>
    <definedName name="Objetos_que_caen_epp">Listas_EPP!$BE$2:$BE$5</definedName>
    <definedName name="Obstrucciones">Listas_Consecuencias!$BE$2:$BE$5</definedName>
    <definedName name="Obstrucciones_ctrl">Listas_Controles!$BG$2:$BG$3</definedName>
    <definedName name="Obstrucciones_epp">Listas_EPP!$BF$2:$BF$5</definedName>
    <definedName name="OLE_LINK13" localSheetId="3">'Tablas Guia'!$H$14</definedName>
    <definedName name="Oxidantes">Listas_Consecuencias!$BF$2:$BF$5</definedName>
    <definedName name="Oxidantes_ctrl">Listas_Controles!$BH$2:$BH$3</definedName>
    <definedName name="Oxidantes_epp">Listas_EPP!$BG$2:$BG$4</definedName>
    <definedName name="Pandemia">Listas_Consecuencias!$BG$2:$BG$5</definedName>
    <definedName name="Pandemia_ctrl">Listas_Controles!$BI$2:$BI$4</definedName>
    <definedName name="Pandemia_epp">Listas_EPP!$BH$2:$BH$5</definedName>
    <definedName name="Partes_moviles">Listas_Consecuencias!$BH$2:$BH$5</definedName>
    <definedName name="Partes_moviles_ctrl">Listas_Controles!$BJ$2:$BJ$4</definedName>
    <definedName name="Partes_moviles_epp">Listas_EPP!$BI$2:$BI$4</definedName>
    <definedName name="Particulas_expulsadas">Listas_Consecuencias!$BI$2:$BI$5</definedName>
    <definedName name="Particulas_expulsadas_ctrl">Listas_Controles!$BK$2:$BK$3</definedName>
    <definedName name="Particulas_expulsadas_epp">Listas_EPP!$BJ$2:$BJ$4</definedName>
    <definedName name="partsofbody">'DD - Parts of the Body'!$A$1:$A$19</definedName>
    <definedName name="Patogenos">Listas_Consecuencias!$BJ$2:$BJ$5</definedName>
    <definedName name="Patogenos_ctrl">Listas_Controles!$BL$2:$BL$4</definedName>
    <definedName name="Patogenos_epp">Listas_EPP!$BK$2:$BK$5</definedName>
    <definedName name="Poca_iluminacion">Listas_Consecuencias!$BK$2:$BK$5</definedName>
    <definedName name="Poca_iluminacion_ctrl">Listas_Controles!$BM$2:$BM$3</definedName>
    <definedName name="Poca_iluminacion_epp">Listas_EPP!$BL$2:$BL$4</definedName>
    <definedName name="Polvos_toxicos">Listas_Consecuencias!$BL$2:$BL$5</definedName>
    <definedName name="Polvos_toxicos_ctrl">Listas_Controles!$BN$2:$BN$3</definedName>
    <definedName name="Polvos_toxicos_epp">Listas_EPP!$BM$2:$BM$4</definedName>
    <definedName name="Postura_prolongada">Listas_Consecuencias!$BM$2:$BM$5</definedName>
    <definedName name="Postura_prolongada_ctrl">Listas_Controles!$BO$2:$BO$2</definedName>
    <definedName name="Postura_prolongada_epp">Listas_EPP!$BN$2:$BN$4</definedName>
    <definedName name="PPE">'DD - PPE'!$C$3:$C$46</definedName>
    <definedName name="Presion_laboral">Listas_Consecuencias!$BN$2:$BN$5</definedName>
    <definedName name="Presion_laboral_ctrl">Listas_Controles!$BP$2:$BP$3</definedName>
    <definedName name="Presion_laboral_epp">Listas_EPP!$BO$2:$BO$4</definedName>
    <definedName name="Prueba_de_producto">Listas_Consecuencias!$BO$2:$BO$5</definedName>
    <definedName name="Prueba_de_producto_ctrl">Listas_Controles!$BQ$2:$BQ$3</definedName>
    <definedName name="Prueba_de_producto_epp">Listas_EPP!$BP$2:$BP$4</definedName>
    <definedName name="Psicosocial">Listas_Riesgos!$G$2:$G$6</definedName>
    <definedName name="Quimicos">Listas_Riesgos!$H$2:$H$11</definedName>
    <definedName name="Radiacion">Listas_Consecuencias!$BP$2:$BP$5</definedName>
    <definedName name="Radiacion_ctrl">Listas_Controles!$BR$2:$BR$3</definedName>
    <definedName name="Radiacion_epp">Listas_EPP!$BQ$2:$BQ$4</definedName>
    <definedName name="Radiacion_ionizante">Listas_Consecuencias!$BQ$2:$BQ$5</definedName>
    <definedName name="Radiacion_ionizante_ctrl">Listas_Controles!$BS$2:$BS$4</definedName>
    <definedName name="Radiacion_ionizante_epp">Listas_EPP!$BR$2:$BR$4</definedName>
    <definedName name="Radiacion_no_ionizante">Listas_Consecuencias!$BR$2:$BR$5</definedName>
    <definedName name="Radiacion_no_ionizante_ctrl">Listas_Controles!$BT$2:$BT$4</definedName>
    <definedName name="Radiacion_no_ionizante_epp">Listas_EPP!$BS$2:$BS$4</definedName>
    <definedName name="Resbalones">Listas_Consecuencias!$BS$2:$BS$5</definedName>
    <definedName name="Resbalones_ctrl">Listas_Controles!$BU$2:$BU$3</definedName>
    <definedName name="Resbalones_epp">Listas_EPP!$BT$2:$BT$4</definedName>
    <definedName name="Respiratorios_irritantes">Listas_Consecuencias!$BT$2:$BT$5</definedName>
    <definedName name="Respiratorios_irritantes_ctrl">Listas_Controles!$BV$2:$BV$3</definedName>
    <definedName name="Respiratorios_irritantes_epp">Listas_EPP!$BU$2:$BU$4</definedName>
    <definedName name="Revision">#REF!</definedName>
    <definedName name="Robo">Listas_Consecuencias!$BU$2:$BU$5</definedName>
    <definedName name="Robo_ctrl">Listas_Controles!$BW$2:$BW$3</definedName>
    <definedName name="Robo_epp">Listas_EPP!$BV$2:$BV$3</definedName>
    <definedName name="Ruido">Listas_Consecuencias!$BV$2:$BV$5</definedName>
    <definedName name="Ruido_ctrl">Listas_Controles!$BX$2:$BX$4</definedName>
    <definedName name="Ruido_epp">Listas_EPP!$BW$2:$BW$2</definedName>
    <definedName name="Ruido_herramientas">Listas_Consecuencias!$BW$2:$BW$5</definedName>
    <definedName name="Ruido_herramientas_ctrl">Listas_Controles!$BY$2:$BY$3</definedName>
    <definedName name="Ruido_herramientas_epp">Listas_EPP!$BX$2:$BX$2</definedName>
    <definedName name="Rutinario">Listas_Riesgos!#REF!</definedName>
    <definedName name="Salud_ctrl">Listas_Controles!$BZ$2:$BZ$2</definedName>
    <definedName name="Seguridad">Listas_Riesgos!$I$2:$I$5</definedName>
    <definedName name="Seguridad_ctrl">Listas_Controles!$CA$2:$CA$2</definedName>
    <definedName name="Servicios_desconocidos">Listas_Consecuencias!$BX$2:$BX$5</definedName>
    <definedName name="Servicios_desconocidos_ctrl">Listas_Controles!$CB$2:$CB$3</definedName>
    <definedName name="Servicios_desconocidos_epp">Listas_EPP!$BY$2:$BY$5</definedName>
    <definedName name="Sistema_de_presion">Listas_Consecuencias!$BY$2:$BY$5</definedName>
    <definedName name="Sistema_de_presion_ctrl">Listas_Controles!$CC$2:$CC$4</definedName>
    <definedName name="Sistema_de_presion_epp">Listas_EPP!$BZ$2:$BZ$5</definedName>
    <definedName name="Superficie_caliente_fria">Listas_Consecuencias!$BZ$2:$BZ$5</definedName>
    <definedName name="Superficie_caliente_fria_ctrl">Listas_Controles!$CD$2:$CD$4</definedName>
    <definedName name="Superficie_caliente_fria_epp">Listas_EPP!$CA$2:$CA$4</definedName>
    <definedName name="Torsion">Listas_Consecuencias!$CA$2:$CA$5</definedName>
    <definedName name="Torsion_ctrl">Listas_Controles!$CE$2:$CE$3</definedName>
    <definedName name="Torsion_epp">Listas_EPP!$CB$2:$CB$4</definedName>
    <definedName name="Trabajo_en_altura">Listas_Consecuencias!$CB$2:$CB$5</definedName>
    <definedName name="Trabajo_en_altura_ctrl">Listas_Controles!$CF$2:$CF$3</definedName>
    <definedName name="Trabajo_en_altura_epp">Listas_EPP!$CC$2:$CC$5</definedName>
    <definedName name="Trabajo_en_solitario">Listas_Consecuencias!$CC$2:$CC$5</definedName>
    <definedName name="Trabajo_en_solitario_ctrl">Listas_Controles!$CG$2:$CG$3</definedName>
    <definedName name="Trabajo_en_solitario_epp">Listas_EPP!$CD$2:$CD$4</definedName>
    <definedName name="Trabajo_estatico">Listas_Consecuencias!$CD$2:$CD$5</definedName>
    <definedName name="Trabajo_estatico_ctrl">Listas_Controles!$CH$2:$CH$3</definedName>
    <definedName name="Trabajo_estatico_epp">Listas_EPP!$CE$2:$CE$4</definedName>
    <definedName name="Trabajo_movil">Listas_Consecuencias!$CE$2:$CE$5</definedName>
    <definedName name="Trabajo_movil_ctrl">Listas_Controles!$CI$2:$CI$3</definedName>
    <definedName name="Trabajo_movil_epp">Listas_EPP!$CF$2:$CF$4</definedName>
    <definedName name="Vandalismo">Listas_Consecuencias!$CF$2:$CF$5</definedName>
    <definedName name="Vandalismo_ctrl">Listas_Controles!$CJ$2:$CJ$3</definedName>
    <definedName name="Vandalismo_epp">Listas_EPP!$CG$2:$CG$3</definedName>
    <definedName name="Vehiculos_trafico">Listas_Consecuencias!$CG$2:$CG$5</definedName>
    <definedName name="Vehiculos_trafico_ctrl">Listas_Controles!$CK$2:$CK$5</definedName>
    <definedName name="Vehiculos_trafico_epp">Listas_EPP!$CH$2:$CH$4</definedName>
    <definedName name="Vibracion">Listas_Consecuencias!$CH$2:$CH$5</definedName>
    <definedName name="Vibracion_ctrl">Listas_Controles!$CL$2:$CL$4</definedName>
    <definedName name="Vibracion_epp">Listas_EPP!$CI$2:$CI$2</definedName>
    <definedName name="Vibracion_herramientas">Listas_Consecuencias!$CI$2:$CI$5</definedName>
    <definedName name="Vibracion_herramientas_ctrl">Listas_Controles!$CM$2:$CM$3</definedName>
    <definedName name="Vibracion_herramientas_epp">Listas_EPP!$CJ$2:$CJ$2</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E5" i="1" s="1"/>
  <c r="J9" i="1"/>
  <c r="P9" i="1"/>
  <c r="Q9" i="1"/>
  <c r="J10" i="1"/>
  <c r="Q10" i="1" s="1"/>
  <c r="P10" i="1"/>
  <c r="J11" i="1"/>
  <c r="P11" i="1"/>
  <c r="Q11" i="1"/>
  <c r="J12" i="1"/>
  <c r="P12" i="1" s="1"/>
  <c r="Q12" i="1"/>
  <c r="J13" i="1"/>
  <c r="P13" i="1"/>
  <c r="Q13" i="1"/>
  <c r="J14" i="1"/>
  <c r="P14" i="1" s="1"/>
  <c r="Q14" i="1"/>
  <c r="J15" i="1"/>
  <c r="P15" i="1"/>
  <c r="Q15" i="1"/>
  <c r="J16" i="1"/>
  <c r="P16" i="1"/>
  <c r="Q16" i="1"/>
  <c r="J17" i="1"/>
  <c r="P17" i="1" s="1"/>
  <c r="J18" i="1"/>
  <c r="P18" i="1"/>
  <c r="Q18" i="1"/>
  <c r="J19" i="1"/>
  <c r="P19" i="1"/>
  <c r="Q19" i="1"/>
  <c r="J20" i="1"/>
  <c r="P20" i="1"/>
  <c r="Q20" i="1"/>
  <c r="J21" i="1"/>
  <c r="P21" i="1" s="1"/>
  <c r="J22" i="1"/>
  <c r="P22" i="1"/>
  <c r="Q22" i="1"/>
  <c r="J23" i="1"/>
  <c r="P23" i="1"/>
  <c r="Q23" i="1"/>
  <c r="J24" i="1"/>
  <c r="P24" i="1"/>
  <c r="Q24" i="1"/>
  <c r="J25" i="1"/>
  <c r="P25" i="1" s="1"/>
  <c r="J26" i="1"/>
  <c r="P26" i="1"/>
  <c r="Q26" i="1"/>
  <c r="J27" i="1"/>
  <c r="P27" i="1"/>
  <c r="Q27" i="1"/>
  <c r="H91" i="5" a="1"/>
  <c r="H91" i="5" s="1"/>
  <c r="G91" i="5" a="1"/>
  <c r="G92" i="5" s="1"/>
  <c r="F91" i="5" a="1"/>
  <c r="F91" i="5" s="1"/>
  <c r="E91" i="5" a="1"/>
  <c r="E110" i="5" s="1"/>
  <c r="D91" i="5" a="1"/>
  <c r="D96" i="5" s="1"/>
  <c r="J8" i="1"/>
  <c r="P8" i="1" s="1"/>
  <c r="Q8" i="1" s="1"/>
  <c r="Q25" i="1" l="1"/>
  <c r="Q21" i="1"/>
  <c r="Q17" i="1"/>
  <c r="E111" i="5"/>
  <c r="D98" i="5"/>
  <c r="E112" i="5"/>
  <c r="D99" i="5"/>
  <c r="E101" i="5"/>
  <c r="E113" i="5"/>
  <c r="D97" i="5"/>
  <c r="E100" i="5"/>
  <c r="E91" i="5"/>
  <c r="E102" i="5"/>
  <c r="E114" i="5"/>
  <c r="E103" i="5"/>
  <c r="E115" i="5"/>
  <c r="E99" i="5"/>
  <c r="D91" i="5"/>
  <c r="E92" i="5"/>
  <c r="E104" i="5"/>
  <c r="E116" i="5"/>
  <c r="E93" i="5"/>
  <c r="E105" i="5"/>
  <c r="D92" i="5"/>
  <c r="E94" i="5"/>
  <c r="E106" i="5"/>
  <c r="D93" i="5"/>
  <c r="E95" i="5"/>
  <c r="E107" i="5"/>
  <c r="G91" i="5"/>
  <c r="E108" i="5"/>
  <c r="D95" i="5"/>
  <c r="E97" i="5"/>
  <c r="E109" i="5"/>
  <c r="D94" i="5"/>
  <c r="E96" i="5"/>
  <c r="E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Quinonez</author>
  </authors>
  <commentList>
    <comment ref="A6" authorId="0" shapeId="0" xr:uid="{00000000-0006-0000-0000-000001000000}">
      <text>
        <r>
          <rPr>
            <sz val="10"/>
            <rFont val="Arial"/>
            <family val="2"/>
          </rPr>
          <t>Raul Quinonez:
Rutiniario: Actividades que se realizan diariamente en el proceso de trabajo.
No rutinario: Actividades poco frecuentes que no se realizan de manera constante.
Emergencia: Tareas que se realizan si ocurriese una emergencia.
Apagado y puesta en marcha: Actividades que se realizan al apagar o arrancar el equipo.</t>
        </r>
      </text>
    </comment>
    <comment ref="B6" authorId="0" shapeId="0" xr:uid="{00000000-0006-0000-0000-000003000000}">
      <text>
        <r>
          <rPr>
            <sz val="10"/>
            <rFont val="Arial"/>
            <family val="2"/>
          </rPr>
          <t>Raul Quinonez:
Especificar la tarea: Ej. Prueba ICT</t>
        </r>
      </text>
    </comment>
    <comment ref="C6" authorId="0" shapeId="0" xr:uid="{00000000-0006-0000-0000-000004000000}">
      <text>
        <r>
          <rPr>
            <sz val="10"/>
            <rFont val="Arial"/>
            <family val="2"/>
          </rPr>
          <t>Raul Quinonez:
Pasos especificos de la tarea. Ej: Colocar tablilla en Fixtura</t>
        </r>
      </text>
    </comment>
    <comment ref="G6" authorId="0" shapeId="0" xr:uid="{00000000-0006-0000-0000-000005000000}">
      <text>
        <r>
          <rPr>
            <sz val="10"/>
            <rFont val="Arial"/>
            <family val="2"/>
          </rPr>
          <t>Raul Quinonez:
Si tú puedes ORDENAR el cambio o la solución  - Elige Control.
Si tienes que PEDIR, NEGOCIAR o CONVENCER a otro- Elige Influencia.</t>
        </r>
      </text>
    </comment>
    <comment ref="O7" authorId="0" shapeId="0" xr:uid="{00000000-0006-0000-0000-000006000000}">
      <text>
        <r>
          <rPr>
            <sz val="10"/>
            <rFont val="Arial"/>
            <family val="2"/>
          </rPr>
          <t>Raul Quinonez:
1. Eliminación
2. Sustitución
3. Control de Ingeniería
4. Control Administrativo
5. Equipo de Proteccion Personal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<sst xmlns="http://schemas.openxmlformats.org/spreadsheetml/2006/main" count="2563" uniqueCount="1242">
  <si>
    <t>PROCESO EVALUADO</t>
  </si>
  <si>
    <t>AREAS FISICAS DEL PROCESO</t>
  </si>
  <si>
    <t>NOMBRES Y FIRMAS DE APROBADORES</t>
  </si>
  <si>
    <t>WORKCELL O FUNCTIONAL MNGR DEL PROCESO</t>
  </si>
  <si>
    <t>INGENIERIA (IE, AUTO, ME, TE)</t>
  </si>
  <si>
    <t>OTRO:__________________</t>
  </si>
  <si>
    <t>FECHA DE EVALUACION</t>
  </si>
  <si>
    <t>FECHA DE SIGUIENTE EVALUACION (12 MESES O RR MAYOR)</t>
  </si>
  <si>
    <t>REPRESENTANTE DE EHS</t>
  </si>
  <si>
    <t>OTRO:_________________</t>
  </si>
  <si>
    <t>Condición</t>
  </si>
  <si>
    <t>Tarea</t>
  </si>
  <si>
    <t>Pasos de la tarea</t>
  </si>
  <si>
    <t>Tipo de Peligro</t>
  </si>
  <si>
    <t>Riesgo</t>
  </si>
  <si>
    <t>Consecuencia</t>
  </si>
  <si>
    <t>Control o Influencia</t>
  </si>
  <si>
    <t>Riesgo Inherente
(Sin Controles)</t>
  </si>
  <si>
    <t>Control (s)</t>
  </si>
  <si>
    <t xml:space="preserve">Descricpión técnica del EPP Requerido: Clase, nivel de protección, norma de consenso, regulación, presentación, modelo. </t>
  </si>
  <si>
    <t>Documentos donde se estandarizan los controles: procedimiento, ayuda visual, instrucción de trabajo otro en Jdoc</t>
  </si>
  <si>
    <t>Controles Verificados por EHS (Nombre)</t>
  </si>
  <si>
    <t>Puntuación del riesgo despues de controles</t>
  </si>
  <si>
    <t xml:space="preserve"># IP en EHSIP </t>
  </si>
  <si>
    <t># Acción o tarea</t>
  </si>
  <si>
    <t>S</t>
  </si>
  <si>
    <t>P</t>
  </si>
  <si>
    <t>RI</t>
  </si>
  <si>
    <t>Nivel del control</t>
  </si>
  <si>
    <t>RR</t>
  </si>
  <si>
    <t>% Reducción</t>
  </si>
  <si>
    <t>Punciones</t>
  </si>
  <si>
    <t>bu</t>
  </si>
  <si>
    <t>PJ-EHSIP</t>
  </si>
  <si>
    <t>PT EHSIP</t>
  </si>
  <si>
    <t>Descripción de acciones correspondientes</t>
  </si>
  <si>
    <t>Responsable</t>
  </si>
  <si>
    <t>Correo</t>
  </si>
  <si>
    <t>Fecha de vencimiento</t>
  </si>
  <si>
    <t>Guía de EPP (No definitiva)</t>
  </si>
  <si>
    <t>Puntuación de Riesgo</t>
  </si>
  <si>
    <t>Nivel de Riesgo</t>
  </si>
  <si>
    <t>Prioridad de Acción</t>
  </si>
  <si>
    <t>Ponderacion impacto</t>
  </si>
  <si>
    <t>Ponderacion Probabilidad</t>
  </si>
  <si>
    <t>Nivel de Control</t>
  </si>
  <si>
    <t>Lentes o cubrelentes de seguridad ANSI Z87.1, contra partículas proyectadas. No protégé contra salpicaduras, vapores, nieblas, humos o polvos.</t>
  </si>
  <si>
    <t>0 – 3</t>
  </si>
  <si>
    <t>Bajo</t>
  </si>
  <si>
    <t>La actividad PUEDE PROCEDER CON SUPERVISIÓN NORMAL DESPUÉS DE IMPLEMENTAR LAS MEDIDAS DE CONTROL
Verificar que todos los controles estén en su lugar y minimicen los riesgos.
Determine si otros métodos de reducción de riesgo son posibles.
Verificar evaluación dentro de un año.</t>
  </si>
  <si>
    <t>Impacto</t>
  </si>
  <si>
    <t>Salud</t>
  </si>
  <si>
    <t>Seguridad</t>
  </si>
  <si>
    <t>Medio Ambiente</t>
  </si>
  <si>
    <t>Interrupción del Negocio</t>
  </si>
  <si>
    <t>Probabilidad</t>
  </si>
  <si>
    <t>Descripcion</t>
  </si>
  <si>
    <t>Eliminación: Consiste en eliminar completamente el peligro. Es el control más efectivo.
Ejemplo: Eliminar un químico peligroso del proceso para que ya no sea necesario usarlo.</t>
  </si>
  <si>
    <t>Goggles contra polvos  ANSI Z87.1,</t>
  </si>
  <si>
    <t>4 – 9</t>
  </si>
  <si>
    <t>Medio</t>
  </si>
  <si>
    <t>Antes de realizar la tarea o el uso del equipo, se deben establecer controles seleccionados para reducir el riesgo de “Control efectivo”
Se pueden implementar medidas de control de riesgos provisionales, como controles administrativos o EPP, mientras se establecen medidas a más largo plazo.
Establecer un plan de acción para reducir los riesgos.
Establecer el cronograma de implementación del control.
La reevaluación se llevará a cabo dentro de los 6 meses posteriores a la finalización de las acciones.</t>
  </si>
  <si>
    <t>Síntomas a corto plazo (enfermedad/condición) que no resultan en pérdida de tiempo laboral. Efectos reversibles.</t>
  </si>
  <si>
    <t>Lesión menor, no más grave que la que requiere primeros auxilios únicamente – incidente de primeros auxilios.</t>
  </si>
  <si>
    <t>Daño ambiental mínimo y a corto plazo (horas), contenido dentro del área inmediata.</t>
  </si>
  <si>
    <t xml:space="preserve">Pérdidas reales con un valor inferior a USD $1,000.Problema local sin impacto o con impacto limitado en la percepcion del mercado </t>
  </si>
  <si>
    <t>Extremadamente improbable, raro (p. ej., nunca realizado en el negocio)</t>
  </si>
  <si>
    <t>Sustitucion: Reemplazar el peligro por uno menos riesgoso.
Ejemplo: Sustituir un solvente tóxico por uno biodegradable y de baja toxicidad.</t>
  </si>
  <si>
    <t>Goggles contra salpicaduras de químicos  ANSI Z87.1,</t>
  </si>
  <si>
    <t>10 – 16</t>
  </si>
  <si>
    <t>Alto</t>
  </si>
  <si>
    <t>Prioridad significativa
Antes de realizar la tarea o el uso del equipo, establecer controles seleccionados para reducir el riesgo de "Control efectivo".
Establecer un plan de acción para reducir los riesgos.
Establecer el cronograma de implementación del control.
La reevaluación se llevará a cabo dentro de los 30 días posteriores a la finalización de las acciones.</t>
  </si>
  <si>
    <t>Enfermedad que requiere tratamiento o atención médica, pero la persona aún está apta para realizar sus funciones normales. Efectos reversibles.</t>
  </si>
  <si>
    <t>Tratamiento médico básico (no incluye amputaciones ni fracturas), pérdida de tiempo o incidente registrable, con rápido retorno al trabajo (ausencia más allá del turno en que ocurrió).</t>
  </si>
  <si>
    <t>Daño ambiental menor y a corto plazo (días), contenido dentro de los límites de la instalación.</t>
  </si>
  <si>
    <t>Pérdidas reales con un valor inferior a USD $25,000.Potencial de escalamiento y/o impacto menor en la percepción del mercado que requiere atención y consideración de la alta dirección.</t>
  </si>
  <si>
    <t>Improbable, poco común (p. ej., una vez en el negocio)</t>
  </si>
  <si>
    <t>Controles de ingenieria: Aislar a las personas del peligro mediante cambios físicos o de diseño.
Ejemplo: Instalar una guarda de seguridad en una máquina con partes móviles.</t>
  </si>
  <si>
    <t>Goggles de soldadura para oxycorte filtro 4 a 6 ANSI Z87.1,</t>
  </si>
  <si>
    <t>20 – 25</t>
  </si>
  <si>
    <t>Urgente</t>
  </si>
  <si>
    <t>Esta es una prioridad inmediata.
La actividad NO DEBE proceder.
Antes de realizar la tarea o el uso del equipo, se implementan controles adicionales para reducir el riesgo de "Control efectivo".
Establecer un plan de acción para reducir los riesgos.
Una nueva evaluación es necesaria tan pronto como los controles se hayan implementado.</t>
  </si>
  <si>
    <t>Enfermedad que incapacita para realizar funciones normales (NO APTO PARA TRABAJAR). Efectos reversibles, pero de naturaleza grave.</t>
  </si>
  <si>
    <t>Fracturas, lesiones musculoesqueléticas, quemaduras significativas (ausencia significativa del trabajo).</t>
  </si>
  <si>
    <t>Daño ambiental a corto plazo (semanas), contenido dentro de los límites del sitio.</t>
  </si>
  <si>
    <t>Pérdidas reales mayores a USD $25,000 pero menores a USD $100,000.
Impacto moderado o material en la percepción del mercado de Jabil que requiere atención e intervención de la alta dirección.</t>
  </si>
  <si>
    <t>Probable (p. ej., anual)</t>
  </si>
  <si>
    <t>Controles administrativos: Cambiar la forma de trabajar mediante procedimientos, capacitación o señalización.
Ejemplo: Implementar un procedimiento de trabajo seguro y capacitar al personal en su uso.</t>
  </si>
  <si>
    <t>Lentes de protección a laser, Clase 3 y Clase 4, ANSI Z136.1 / ANSI Z87.1,</t>
  </si>
  <si>
    <t>Problemas de salud debilitantes, terminales y/o de larga duración.</t>
  </si>
  <si>
    <t>Una sola fatalidad o lesiones incapacitantes (p. ej., amputaciones, pérdida de la vista, etc.).</t>
  </si>
  <si>
    <t>Daño ambiental grave a mediano plazo (meses) y/o con impacto local fuera del sitio.</t>
  </si>
  <si>
    <t>Pérdidas reales mayores a USD $100,000.Impacto importante en la percepción del mercado de Jabil que requiere atención e intervención inmediata de la alta dirección.</t>
  </si>
  <si>
    <t>Ocurre a menudo (p. ej., semanal)</t>
  </si>
  <si>
    <t>Equipo de proteccion personal: Proteger al trabajador con equipo personal; es el último nivel de control.
Ejemplo: Uso de guantes, lentes de seguridad y casco para realizar una tarea.</t>
  </si>
  <si>
    <t>Pantalla facial resistente a fluídos químicos ANSI Z87.1</t>
  </si>
  <si>
    <t>Condiciones de salud terminales que podrían afectar a múltiples personas.</t>
  </si>
  <si>
    <t>Fatalidades múltiples.</t>
  </si>
  <si>
    <t>Daño ambiental muy grave, a largo plazo (años) o permanente y/o con impacto nacional o internacional.</t>
  </si>
  <si>
    <t>Pérdidas reales mayores a USD $1,000,000.Impacto dramático y material en la percepción del mercado de Jabil que requiere intervención y gestión inmediata de la alta dirección.</t>
  </si>
  <si>
    <t>Ocurre frecuentemente, esperado (p. ej., diaria)</t>
  </si>
  <si>
    <t>Pantalla facial resistente a proyección de partículas y radiaciones UV ANSI Z87.1,</t>
  </si>
  <si>
    <t>Careta de soldador para protección a proyección de particulas incandescentes y radiaciones UV de soldadura filtro 10-14 ANSI Z87.1,</t>
  </si>
  <si>
    <t>Calzado ocupacional Tipo II NOM-113-STPS, cerrado con protección en punta para impactos y compresión, suela antiderrapante 
Ajuste en tobillopor bota, botín, medio botín, 3/4 de botín para operador de estación o ejecutante de actividad, (ajuste no requerido para visitas)</t>
  </si>
  <si>
    <t>Calzado ocupacional Tipo III NOM-113-STPS, cerrado con protección contra choque eléctrico indicado, protector en punta para impactos y compresión, suela antiderrapante 
Ajuste en tobillopor bota, botín, medio botín, 3/4 de botín para operador de estación o ejecutante de actividad, (ajuste no requerido para visitas)</t>
  </si>
  <si>
    <t>Calzado ocupacional Tipo IV NOM-113-STPS, cerrado con protección metatarsal, protector en punta para impactos y compresión, suela antiderrapante
Ajuste en tobillopor bota, botín, medio botín, 3/4 de botín para operador de estación o ejecutante de actividad, (ajuste no requerido para visitas)</t>
  </si>
  <si>
    <t>Calzado ocupacional Tipo V NOM-113-STPS, cerrado con propiedades conductivas y disipativas para descarga gradual, protector en punta para impactos y compresión, suela antiderrapante
Ajuste en tobillopor bota, botín, medio botín, 3/4 de botín para operador de estación o ejecutante de actividad, (ajuste no requerido para visitas)</t>
  </si>
  <si>
    <t>Calzado ocupacional Tipo VI NOM-113-STPS, cerrado, resistente a la penetración de objetos punzocortantes, protector en punta para impactos y compresión, suela antiderrapante
Ajuste en tobillopor bota, botín, medio botín, 3/4 de botín para operador de estación o ejecutante de actividad, (ajuste no requerido para visitas)</t>
  </si>
  <si>
    <t>Calzado ocupacional Tipo VII NOM-113-STPS, cerrado, con propiedades antietáticas para reducir la generación y almacenamiento de cargas estáticas, protector en punta para impactos y compresión, suela antiderrapante
Ajuste en tobillopor bota, botín, medio botín, 3/4 de botín para operador de estación o ejecutante de actividad, (ajuste no requerido para visitas)</t>
  </si>
  <si>
    <t>Casco clase G (General) NOM-115-STPS, para reducr fuerza de impacto de objetos en caída y el peligro de contacto con conductores energizados a baja tensión eléctrica de hasta 2 200 V (fase a tierra)</t>
  </si>
  <si>
    <t>Casco Clase E (Dieléctrico) NOM-115-STPS con protección para reducir la fuerza de impacto de objetos en caída y el peligro de contacto con conductores energizados a alta tensión eléctrica de hasta 20 000 V (fase a tierra)</t>
  </si>
  <si>
    <t>Clase C (Conductor) NOM-115-STPS con protección para reducir la fuerza de impacto de objetos en caída. No protégé contra choque eléctrico.</t>
  </si>
  <si>
    <t>Gorra de Seguridad EN812/ANSI100 para protección al golpearse contra objetos estacionarios contundentes y/o afilados. No proteje contra impactos o caída de objetos.</t>
  </si>
  <si>
    <t>Respirador purificador de aire N (Partículas sólidas) NOM-116-STPS</t>
  </si>
  <si>
    <t>Respirador purificador de aire R (Partículas sólidas y aceites) NOM-116-STPS, limitado a utilizarse  hasta 8 horas por jornada.</t>
  </si>
  <si>
    <t>Respirador purificador de aire P (Partículas sólidas y aceites) NOM-116-STPS, sin límite de tiempo por jornada.</t>
  </si>
  <si>
    <t>Guantes con protección mecánica ANSI/ISEA 105-2016/EN388 de carnaza resistente a chispas y otras partículas proyectadas calientes, proteccion contra abrasiones y bordes afilados</t>
  </si>
  <si>
    <t>Guantes con protección térmica EN407/ANSI105 aluminizados y aislados  resistente a radiacion infraroja y superficies calientes</t>
  </si>
  <si>
    <t>Guantes con protección mecánica ANSI/ISEA 105-2016/EN388 de fibra de aramida resistentes a superficies moderadamente frías o calientes y resistente a cortes y abrasiones</t>
  </si>
  <si>
    <t>Guantes Guantes con protección mecánica ANSI/ISEA 105-2016/EN388 de malla metálica resistente a cortes y abrasiones</t>
  </si>
  <si>
    <t>Guantes con protección mecánica ANSI/ISEA 105-2016/EN388 de fibras sintéticas para proteccion contra superficies ligeramente frías o calientes, mejorar el agarre en superficies deslizantes, contra abrasiones leves</t>
  </si>
  <si>
    <t>Guantes de protección química EN/ISO 374 caucho butílico resistente a ácidos, álcalis y soluciones solubles en agua. Ligera y corta protección a líquidos base solvente orgánico</t>
  </si>
  <si>
    <t>Guantes de protección química EN/ISO 374 de látex, goma o caucho natural resistente a ácidos, alcalis y soluciones solubles en agua. Ligera y corta protección a líquidos base solvente orgánico</t>
  </si>
  <si>
    <t>Guantes de protección química EN/ISO 374 de neopreno resistente a gasolina, alcohol, ácidos y álcalis orgánicos</t>
  </si>
  <si>
    <t>Guantes de protección química EN/ISO 374  de nitrilo resistentes a solventes clorados</t>
  </si>
  <si>
    <t>Overall Tyvek CE con protección para salpicaduras ligeras de productos químicos no concentrados, polvos, nieblas</t>
  </si>
  <si>
    <t>Guía de Riesgos (no definitiva)</t>
  </si>
  <si>
    <t>Probabilidad (Exposición mas Ocurrencia)</t>
  </si>
  <si>
    <t>Compresión</t>
  </si>
  <si>
    <t>1-Leve: Síntomas de corto plazo, condiciones que no resultan en tiempo perdido, primer auxilio. Daños a la propiedad menores a $1000 USD. Sin afectación a imágen corporativa o afectación mínima.</t>
  </si>
  <si>
    <t>5- Casi seguro: Ocurre frecuentemente (diario)</t>
  </si>
  <si>
    <t>Impacto de objeto sólido</t>
  </si>
  <si>
    <t>2-Menor: Lesión que requiere tratamiento mayor a primeros auxilios por un profesional de la salud sin dias perdidos. Daños a la propiedad menores a $25 000 USD.Afectación a imágen corporativa que requiere la intervención de especialistas fuera del sitio (RH, Comunicacion, legal regional).</t>
  </si>
  <si>
    <t>4 - Muy posible: Ocurre ocasionalmente (semanalmente)</t>
  </si>
  <si>
    <t>Proyección de partículas o fluído presurizado</t>
  </si>
  <si>
    <t>3-Moderado: Lesión que no permite continuar con la actividad laboral o personal por un periodo temporal, con efectos reversibles (días perdidos). Daños a la propiedad menores a $100 000 USD. Afectación a imágen corporativa que requiere la intervención de Direcciones y Vicepresidencias fuera del sitio (Plan de atención a crisis).</t>
  </si>
  <si>
    <t>3-Posible: Es probable que ocurra (anualmente)</t>
  </si>
  <si>
    <t>Borde afilado</t>
  </si>
  <si>
    <t>4-Mayor: Lesión con efectos debilitantes, crónicos y de larga duración. Daños a la propiedad menores a $1000 000 USD. Afectación a imágen corporativa que requiere la intervención inmediata de Direcciones y Vicepresidencias fuera del sitio  (Plan de atención a crisis). regional).</t>
  </si>
  <si>
    <t>2 -Poco posible: Poco probable (Una vez durante todo un proyecto/WC)</t>
  </si>
  <si>
    <t>Objeto estacionario / contundente</t>
  </si>
  <si>
    <t>5-Crítico: Lesión que no permite continuar con la actividad laboral o personal por un periodo temporal, con efectos reversibles (días perdidos). Daños a la propiedad mayores a $1000 000 USD. Afectación a imágen corporativa que requiere la intervención de Direcciones,  Vicepresidencias y el CEO  (Plan de atención a crisis).</t>
  </si>
  <si>
    <t>1 -Raro: Improbable (Nunca, no esperado que ocurra)</t>
  </si>
  <si>
    <t>Objeto sobresaliente</t>
  </si>
  <si>
    <t>Superficie abrasiva</t>
  </si>
  <si>
    <t>Punto de atrapamiento</t>
  </si>
  <si>
    <t>Definición y periodo para plan de acción</t>
  </si>
  <si>
    <t>Punto de pincheo</t>
  </si>
  <si>
    <t>20-25
Urgente</t>
  </si>
  <si>
    <t>La opreación no puede continuar hasta reducir su riesgo</t>
  </si>
  <si>
    <t>Superficie caliente</t>
  </si>
  <si>
    <t>10-19
Alto</t>
  </si>
  <si>
    <t>Requiere un plan de acción con seguimiento tipo CAPA en EHSIP y Acción en JOS para cierre en menos de 2 meses o 60 días</t>
  </si>
  <si>
    <t>Superficie fría</t>
  </si>
  <si>
    <t>4-9
Medio</t>
  </si>
  <si>
    <t>Requiere un plan de acción con seguimiento tipo IP en EHSIP y  tarea en JOS para cierre en menos de 6 meses o 180 días</t>
  </si>
  <si>
    <t>Objeto o superficie vibratoria</t>
  </si>
  <si>
    <t>1-3
Bajo</t>
  </si>
  <si>
    <t>Riesgo aceptable, no es requerido un plan de acción</t>
  </si>
  <si>
    <t>Caída de objetos</t>
  </si>
  <si>
    <t>Resbalón, tropiezo o caída del mismo o diferente nivel</t>
  </si>
  <si>
    <t>Sobre esfuerzo agudo</t>
  </si>
  <si>
    <t>Hiper extensión</t>
  </si>
  <si>
    <t>Posición incomoda o no natural sostenida</t>
  </si>
  <si>
    <t>Repetición de movimientos</t>
  </si>
  <si>
    <t>Levantamiento manual de cargas</t>
  </si>
  <si>
    <t>Choque eléctrico</t>
  </si>
  <si>
    <t>Arco eléctrico</t>
  </si>
  <si>
    <t>Ráfaga de arco</t>
  </si>
  <si>
    <t>Mezcla, polvo, niebla irritante o que provoca quemaduras</t>
  </si>
  <si>
    <t>Producto químico irritante o que provoca quemaduras</t>
  </si>
  <si>
    <t>Polvos, nieblas o vapores inhalables</t>
  </si>
  <si>
    <t>Ruido</t>
  </si>
  <si>
    <t>Radiación no ionizante como Láser, UV, IR, RF</t>
  </si>
  <si>
    <t>Radiación ionizante como rayos X</t>
  </si>
  <si>
    <t>Material explosivo</t>
  </si>
  <si>
    <t>Material inflamable</t>
  </si>
  <si>
    <t>Polvo comustible</t>
  </si>
  <si>
    <t>Material reactivo</t>
  </si>
  <si>
    <t>Material tóxico</t>
  </si>
  <si>
    <t>Material Corrosivo</t>
  </si>
  <si>
    <t>Material biológico infeccioso</t>
  </si>
  <si>
    <t>Desplazamiento de óxigeno</t>
  </si>
  <si>
    <t>Estrés por calor</t>
  </si>
  <si>
    <t>Emergencia - Fuego, conato, incendio, reacción exotérmica, fallo térmico de batería</t>
  </si>
  <si>
    <t>Explosión, ignición, detonación, deflagración</t>
  </si>
  <si>
    <t>Sismo</t>
  </si>
  <si>
    <t xml:space="preserve">Clima extremo, inundación, vientos mayores a 60 KM/h, </t>
  </si>
  <si>
    <t>Falla en la alimentacion de energía eléctrica</t>
  </si>
  <si>
    <t>Brote epidemiológico</t>
  </si>
  <si>
    <t>Descarga a drenaje o cuerpos de agua</t>
  </si>
  <si>
    <t>Emisión al ambiente</t>
  </si>
  <si>
    <t>Agotador de la capa de ozono</t>
  </si>
  <si>
    <t>Gas de efecto invernadero, directo o indirecto</t>
  </si>
  <si>
    <t>Residuo sólido peligroso, no peligroso o urbano</t>
  </si>
  <si>
    <t>Categoría de peligro</t>
  </si>
  <si>
    <t>Peligros específicos</t>
  </si>
  <si>
    <t>Gravedad</t>
  </si>
  <si>
    <t>Control sugerido</t>
  </si>
  <si>
    <t>EPP específico (NOM-017-STPS-2024)</t>
  </si>
  <si>
    <t>Mecanico</t>
  </si>
  <si>
    <t>Bordes afilados</t>
  </si>
  <si>
    <t>Cortes</t>
  </si>
  <si>
    <t>Guantes anticorte, resguardos, inspección de herramientas, capacitación en manejo seguro</t>
  </si>
  <si>
    <t>Guantes anticorte (nivel adecuado), mangas anticorte, lentes de seguridad</t>
  </si>
  <si>
    <t>Cargas en movimiento</t>
  </si>
  <si>
    <t>Aplastamiento</t>
  </si>
  <si>
    <t>Rutas señalizadas, spotters, equipo de izaje certificado, bloqueo de áreas</t>
  </si>
  <si>
    <t>Casco clase E, botas con casquillo, guantes de trabajo, chaleco alta visibilidad</t>
  </si>
  <si>
    <t>Cargas inestables</t>
  </si>
  <si>
    <t>Contusion</t>
  </si>
  <si>
    <t>Aseguramiento de carga, pruebas de estabilidad, uso de cinchos y eslingas certificadas</t>
  </si>
  <si>
    <t>Arnés clase A, línea de vida con absorbedor, casco con barboquejo, calzado antiderrapante</t>
  </si>
  <si>
    <t>Trauma severo</t>
  </si>
  <si>
    <t>Protecciones físicas, LOTO, sensores de presencia, resguardos fijos</t>
  </si>
  <si>
    <t>Casco, lentes, guantes y calzado de seguridad</t>
  </si>
  <si>
    <t>Atrapamiento</t>
  </si>
  <si>
    <t>Amputación</t>
  </si>
  <si>
    <t>Cubiertas en partes móviles, ropa ajustada, capacitación, LOTO</t>
  </si>
  <si>
    <t>Abrasión/fricción</t>
  </si>
  <si>
    <t>Raspaduras</t>
  </si>
  <si>
    <t>EPP adecuado, resguardos, superficies lisas</t>
  </si>
  <si>
    <t>Eyección de material</t>
  </si>
  <si>
    <t>Lesión penetrante</t>
  </si>
  <si>
    <t>Careta, gafas de seguridad, pantallas protectoras</t>
  </si>
  <si>
    <t>Carga suspendida</t>
  </si>
  <si>
    <t>Golpe fatal</t>
  </si>
  <si>
    <t>Zona de exclusión, radios, equipo certificado, operador autorizado</t>
  </si>
  <si>
    <t>Liberación de energía</t>
  </si>
  <si>
    <t>Impacto severo</t>
  </si>
  <si>
    <t>LOTO, disipación controlada de energía, válvulas de seguridad</t>
  </si>
  <si>
    <t>Superficie caliente/fría</t>
  </si>
  <si>
    <t>Quemadura</t>
  </si>
  <si>
    <t>Aislamiento térmico, señalización, guantes térmicos</t>
  </si>
  <si>
    <t>Guantes térmicos, ropa resistente al calor, visor térmico</t>
  </si>
  <si>
    <t>Pérdida auditiva</t>
  </si>
  <si>
    <t>Controles de ingeniería, barreras acústicas, tapones auditivos</t>
  </si>
  <si>
    <t>Tapones o conchas auditivas certificados según dB</t>
  </si>
  <si>
    <t>Vibración</t>
  </si>
  <si>
    <t>Daño crónico</t>
  </si>
  <si>
    <t>Herramientas antivibración, rotación de tareas, límites de exposición</t>
  </si>
  <si>
    <t>Guantes antivibración</t>
  </si>
  <si>
    <t>Radiación ionizante</t>
  </si>
  <si>
    <t>Daño celular/cáncer</t>
  </si>
  <si>
    <t>Blindaje, monitoreo dosimétrico, acceso restringido</t>
  </si>
  <si>
    <t>Dosímetro, lentes plomados, delantal plomado</t>
  </si>
  <si>
    <t>Radiación no ionizante</t>
  </si>
  <si>
    <t>Daño ocular</t>
  </si>
  <si>
    <t>Filtros UV, protección ocular, barreras</t>
  </si>
  <si>
    <t>Sistema de presión</t>
  </si>
  <si>
    <t>Explosión</t>
  </si>
  <si>
    <t>Válvulas de alivio, inspecciones periódicas, pruebas hidrostáticas</t>
  </si>
  <si>
    <t>Protección facial integral, ropa FR/antiestática, casco, calzado dieléctrico</t>
  </si>
  <si>
    <t>Inyección por presión</t>
  </si>
  <si>
    <t>Lesión severa</t>
  </si>
  <si>
    <t>Protección de mangueras, bloqueo de energía, EPP</t>
  </si>
  <si>
    <t>Alta o baja presión</t>
  </si>
  <si>
    <t>Barotrauma</t>
  </si>
  <si>
    <t>Manómetros, válvulas reguladoras, mantenimiento preventivo</t>
  </si>
  <si>
    <t>Partes móviles</t>
  </si>
  <si>
    <t>Resguardos mecánicos, LOTO, sensores</t>
  </si>
  <si>
    <t>Lugar de trabajo</t>
  </si>
  <si>
    <t>Caídas de altura</t>
  </si>
  <si>
    <t>Trauma severo o muerte</t>
  </si>
  <si>
    <t>Arnés, líneas de vida, barandales, andamios certificados</t>
  </si>
  <si>
    <t>Caída a nivel</t>
  </si>
  <si>
    <t>Esguince</t>
  </si>
  <si>
    <t>Limpieza, señalización, calzado antiderrapante</t>
  </si>
  <si>
    <t>Resbalones</t>
  </si>
  <si>
    <t>Torceduras</t>
  </si>
  <si>
    <t>Tapetes antideslizantes, control de derrames</t>
  </si>
  <si>
    <t>Obstrucciones</t>
  </si>
  <si>
    <t>Golpes</t>
  </si>
  <si>
    <t>Orden y limpieza, rutas despejadas</t>
  </si>
  <si>
    <t>Vehículos/tráfico</t>
  </si>
  <si>
    <t>Atropellamiento</t>
  </si>
  <si>
    <t>Zonas peatonales, speed bumps, señalización, capacitación</t>
  </si>
  <si>
    <t>Chaleco alta visibilidad clase 2/3, casco, botas con casquillo</t>
  </si>
  <si>
    <t>Trabajo en altura</t>
  </si>
  <si>
    <t>Caída</t>
  </si>
  <si>
    <t>Sistemas anti-caídas, inspección de equipo</t>
  </si>
  <si>
    <t>Materiales suspendidos</t>
  </si>
  <si>
    <t>Bloqueo de área, radios, supervisión</t>
  </si>
  <si>
    <t>Espacio confinado</t>
  </si>
  <si>
    <t>Asfixia</t>
  </si>
  <si>
    <t>Monitoreo de gases, ventilación, permisos de entrada</t>
  </si>
  <si>
    <t>Respirador (P100/químico) o SCBA según concentración, goggles, guantes químicos</t>
  </si>
  <si>
    <t>Calidad del aire</t>
  </si>
  <si>
    <t>Intoxicación</t>
  </si>
  <si>
    <t>Ventilación, detectores de gas, respiradores</t>
  </si>
  <si>
    <t>Poca iluminación</t>
  </si>
  <si>
    <t>Tropiezos</t>
  </si>
  <si>
    <t>Iluminación adecuada, mantenimiento de lámparas</t>
  </si>
  <si>
    <t>Luz excesiva</t>
  </si>
  <si>
    <t>Filtros, gafas de seguridad</t>
  </si>
  <si>
    <t>Humedad</t>
  </si>
  <si>
    <t>Caídas</t>
  </si>
  <si>
    <t>Control de humedad, secado de superficies</t>
  </si>
  <si>
    <t>Calor excesivo</t>
  </si>
  <si>
    <t>Golpe de calor</t>
  </si>
  <si>
    <t>Hidratación, descansos, sombra</t>
  </si>
  <si>
    <t>Frío extremo</t>
  </si>
  <si>
    <t>Hipotermia</t>
  </si>
  <si>
    <t>Ropa térmica, refugios, calentadores</t>
  </si>
  <si>
    <t>Guantes térmicos, ropa térmica/FR según caso</t>
  </si>
  <si>
    <t>Material combustible</t>
  </si>
  <si>
    <t>Incendio</t>
  </si>
  <si>
    <t>Almacenamiento seguro, extintores, ventilación</t>
  </si>
  <si>
    <t>Servicios desconocidos</t>
  </si>
  <si>
    <t>Detección previa, planos actualizados</t>
  </si>
  <si>
    <t>Guantes dieléctricos (clase según voltaje), calzado aislante, careta y ropa arc flash, casco clase E</t>
  </si>
  <si>
    <t>Golpes con objetos</t>
  </si>
  <si>
    <t>Casco, orden y limpieza</t>
  </si>
  <si>
    <t>Objetos que caen</t>
  </si>
  <si>
    <t>Fracturas</t>
  </si>
  <si>
    <t>Protección superior, almacenamiento seguro</t>
  </si>
  <si>
    <t>Radiación</t>
  </si>
  <si>
    <t>Exposición severa</t>
  </si>
  <si>
    <t>Barreras, monitoreo</t>
  </si>
  <si>
    <t>Actividad de terceros</t>
  </si>
  <si>
    <t>Accidentes</t>
  </si>
  <si>
    <t>Permisos, coordinación, inducción de seguridad</t>
  </si>
  <si>
    <t>Patógenos</t>
  </si>
  <si>
    <t>Enfermedad</t>
  </si>
  <si>
    <t>Higiene, EPP biológico, desinfección</t>
  </si>
  <si>
    <t>N95, goggles o careta, guantes desechables, bata/overol desechable</t>
  </si>
  <si>
    <t>Clima extremo</t>
  </si>
  <si>
    <t>Daño físico</t>
  </si>
  <si>
    <t>Refugios, rotación de trabajo</t>
  </si>
  <si>
    <t>Ignición accidental</t>
  </si>
  <si>
    <t>Incendio/explosión</t>
  </si>
  <si>
    <t>Control de fuentes, inertización</t>
  </si>
  <si>
    <t>Campos electromagnéticos</t>
  </si>
  <si>
    <t>Efectos fisiológicos</t>
  </si>
  <si>
    <t>Distancia segura, blindaje</t>
  </si>
  <si>
    <t>No aplica EPP específico; priorizar distancia y blindaje</t>
  </si>
  <si>
    <t>Ahogamiento</t>
  </si>
  <si>
    <t>Muerte</t>
  </si>
  <si>
    <t>Barandales, salvavidas, capacitación</t>
  </si>
  <si>
    <t>Fuego</t>
  </si>
  <si>
    <t>Quemaduras severas</t>
  </si>
  <si>
    <t>Extintores, rociadores, detección</t>
  </si>
  <si>
    <t>Herramientas</t>
  </si>
  <si>
    <t>Cuchillas/puntas</t>
  </si>
  <si>
    <t>Guantes, resguardos</t>
  </si>
  <si>
    <t>Herramientas manuales</t>
  </si>
  <si>
    <t>Capacitación, herramientas en buen estado</t>
  </si>
  <si>
    <t>Partículas expulsadas</t>
  </si>
  <si>
    <t>Lesión ocular</t>
  </si>
  <si>
    <t>Gafas, pantallas</t>
  </si>
  <si>
    <t>Vibración herramientas</t>
  </si>
  <si>
    <t>Daño circulatorio</t>
  </si>
  <si>
    <t>Rotación, antivibración</t>
  </si>
  <si>
    <t>Ruido herramientas</t>
  </si>
  <si>
    <t>Hipoacusia</t>
  </si>
  <si>
    <t>Barreras, EPP auditivo</t>
  </si>
  <si>
    <t>Eléctrico</t>
  </si>
  <si>
    <t>Conductores energizados</t>
  </si>
  <si>
    <t>Electrocución</t>
  </si>
  <si>
    <t>LOTO, detección de voltaje, EPP clase 0/00</t>
  </si>
  <si>
    <t>Conductores dañados</t>
  </si>
  <si>
    <t>Inspección, reemplazo inmediato</t>
  </si>
  <si>
    <t>EPP arc flash, distancia segura</t>
  </si>
  <si>
    <t>Carga electrostática</t>
  </si>
  <si>
    <t>Puesta a tierra, control de humedad</t>
  </si>
  <si>
    <t>Ropa antiestática, calzado conductivo, pulsera de tierra (según proceso)</t>
  </si>
  <si>
    <t>Psicosocial</t>
  </si>
  <si>
    <t>Presión laboral</t>
  </si>
  <si>
    <t>Errores</t>
  </si>
  <si>
    <t>Gestión de carga, pausas</t>
  </si>
  <si>
    <t>Falta de familiaridad</t>
  </si>
  <si>
    <t>Capacitación, inducción</t>
  </si>
  <si>
    <t>Fatiga</t>
  </si>
  <si>
    <t>Error crítico</t>
  </si>
  <si>
    <t>Pausas, turnos adecuados</t>
  </si>
  <si>
    <t>Trabajo en solitario</t>
  </si>
  <si>
    <t>Respuesta tardía</t>
  </si>
  <si>
    <t>Monitoreo, radios</t>
  </si>
  <si>
    <t>Mala organización</t>
  </si>
  <si>
    <t>Incidentes</t>
  </si>
  <si>
    <t>5S, planificación</t>
  </si>
  <si>
    <t>Actividades de trabajo</t>
  </si>
  <si>
    <t>Prueba de producto</t>
  </si>
  <si>
    <t>Fugas</t>
  </si>
  <si>
    <t>Bloqueos, procedimientos</t>
  </si>
  <si>
    <t>Conducir</t>
  </si>
  <si>
    <t>Accidente</t>
  </si>
  <si>
    <t>Capacitación defensiva, mantenimiento del vehículo</t>
  </si>
  <si>
    <t>Trabajo móvil</t>
  </si>
  <si>
    <t>Lesiones</t>
  </si>
  <si>
    <t>Evaluación de ruta, señalización</t>
  </si>
  <si>
    <t>Animales/plantas</t>
  </si>
  <si>
    <t>Mordidas</t>
  </si>
  <si>
    <t>Control de fauna, EPP</t>
  </si>
  <si>
    <t>Contratistas</t>
  </si>
  <si>
    <t>Accidentes severos</t>
  </si>
  <si>
    <t>Permisos, supervisión</t>
  </si>
  <si>
    <t>Ergonomía</t>
  </si>
  <si>
    <t>Levantamiento manual</t>
  </si>
  <si>
    <t>Lumbalgia</t>
  </si>
  <si>
    <t>Técnica adecuada, ayudas mecánicas</t>
  </si>
  <si>
    <t>Empuje/jalón</t>
  </si>
  <si>
    <t>Lesión muscular</t>
  </si>
  <si>
    <t>Carritos, ergonomía</t>
  </si>
  <si>
    <t>Movimientos repetitivos</t>
  </si>
  <si>
    <t>Tendinitis</t>
  </si>
  <si>
    <t>Rotación, ergonomía</t>
  </si>
  <si>
    <t>Mala postura</t>
  </si>
  <si>
    <t>Lesión lumbar</t>
  </si>
  <si>
    <t>Ergonomía, pausas activas</t>
  </si>
  <si>
    <t>Agarre deficiente</t>
  </si>
  <si>
    <t>Pérdida de control</t>
  </si>
  <si>
    <t>Herramientas ergonómicas</t>
  </si>
  <si>
    <t>Postura prolongada</t>
  </si>
  <si>
    <t>Dolor crónico</t>
  </si>
  <si>
    <t>Pausas activas</t>
  </si>
  <si>
    <t>Torsión</t>
  </si>
  <si>
    <t>Ergonomía, capacitación</t>
  </si>
  <si>
    <t>Arrodillarse</t>
  </si>
  <si>
    <t>Lesión de rodilla</t>
  </si>
  <si>
    <t>Rodilleras, alternancia</t>
  </si>
  <si>
    <t>Trabajo estático</t>
  </si>
  <si>
    <t>Pandemia</t>
  </si>
  <si>
    <t>Enfermedad severa</t>
  </si>
  <si>
    <t>Protocolos, EPP, higiene</t>
  </si>
  <si>
    <t>Químicos</t>
  </si>
  <si>
    <t>Gases tóxicos</t>
  </si>
  <si>
    <t>Detectores, SCBA, ventilación</t>
  </si>
  <si>
    <t>Líquidos tóxicos</t>
  </si>
  <si>
    <t>Quemaduras</t>
  </si>
  <si>
    <t>Duchas de emergencia, EPP químico</t>
  </si>
  <si>
    <t>Polvos tóxicos</t>
  </si>
  <si>
    <t>Enfermedad respiratoria</t>
  </si>
  <si>
    <t>Respiradores, contención</t>
  </si>
  <si>
    <t>Corrosivos</t>
  </si>
  <si>
    <t>Material compatible, neutralizantes</t>
  </si>
  <si>
    <t>Inflamables</t>
  </si>
  <si>
    <t>Ventilación, control de chispas</t>
  </si>
  <si>
    <t>Explosivos</t>
  </si>
  <si>
    <t>Almacenamiento clase, aislamiento</t>
  </si>
  <si>
    <t>Irritantes</t>
  </si>
  <si>
    <t>Dermatitis</t>
  </si>
  <si>
    <t>Guantes, ventilación</t>
  </si>
  <si>
    <t>Respiratorios irritantes</t>
  </si>
  <si>
    <t>Respiradores, detectores</t>
  </si>
  <si>
    <t>Oxidantes</t>
  </si>
  <si>
    <t>Separación química, ventilación</t>
  </si>
  <si>
    <t>Asbesto</t>
  </si>
  <si>
    <t>Cáncer</t>
  </si>
  <si>
    <t>Encapsulado, retiro especializado</t>
  </si>
  <si>
    <t>Respirador P100, overol desechable, guantes, goggles</t>
  </si>
  <si>
    <t>Robo</t>
  </si>
  <si>
    <t>Pérdida</t>
  </si>
  <si>
    <t>CCTV, control de accesos</t>
  </si>
  <si>
    <t>No aplica EPP; medidas administrativas y control de accesos</t>
  </si>
  <si>
    <t>Daño a propiedad</t>
  </si>
  <si>
    <t>Reparaciones</t>
  </si>
  <si>
    <t>Protecciones físicas, mantenimiento</t>
  </si>
  <si>
    <t>Allanamiento</t>
  </si>
  <si>
    <t>Riesgo al personal</t>
  </si>
  <si>
    <t>Seguridad, control de accesos</t>
  </si>
  <si>
    <t>Vandalismo</t>
  </si>
  <si>
    <t>Pérdidas</t>
  </si>
  <si>
    <t>Vigilancia, iluminación</t>
  </si>
  <si>
    <t>Condicion</t>
  </si>
  <si>
    <t>Env or H&amp;S</t>
  </si>
  <si>
    <t>Rutinario</t>
  </si>
  <si>
    <t>No rutinario</t>
  </si>
  <si>
    <t xml:space="preserve">Emergencia </t>
  </si>
  <si>
    <t>Nivel de control</t>
  </si>
  <si>
    <t>Control</t>
  </si>
  <si>
    <t>Influencia</t>
  </si>
  <si>
    <t>emissions to air</t>
  </si>
  <si>
    <t>pollution of land</t>
  </si>
  <si>
    <t>discharge of water</t>
  </si>
  <si>
    <t>use of materials / natural resources</t>
  </si>
  <si>
    <t>solid waste management</t>
  </si>
  <si>
    <t>hazardous waste</t>
  </si>
  <si>
    <t>Ankle (s)</t>
  </si>
  <si>
    <t>Abdomen</t>
  </si>
  <si>
    <t>Arm (s)</t>
  </si>
  <si>
    <t>Back/ Spine</t>
  </si>
  <si>
    <t>Bottuck (s)/Groin</t>
  </si>
  <si>
    <t>Central Nervous System</t>
  </si>
  <si>
    <t>Digestive (Mouth/Stomach)</t>
  </si>
  <si>
    <t>Ear (s)</t>
  </si>
  <si>
    <t>Elbow (s)</t>
  </si>
  <si>
    <t>Eye (s)</t>
  </si>
  <si>
    <t>Face/ Jaw</t>
  </si>
  <si>
    <t>Foot/Feet</t>
  </si>
  <si>
    <t>Finger(s)</t>
  </si>
  <si>
    <t>Hand(s)</t>
  </si>
  <si>
    <t>Head</t>
  </si>
  <si>
    <t>Hip (s)/Thigh (s)</t>
  </si>
  <si>
    <t>Internal Injury</t>
  </si>
  <si>
    <t>Knee (s)</t>
  </si>
  <si>
    <t>Leg (s)</t>
  </si>
  <si>
    <t>Mouth/ Teeth</t>
  </si>
  <si>
    <t>Neck</t>
  </si>
  <si>
    <t>Respiratory (Nose/ Mouth/ Lungs)</t>
  </si>
  <si>
    <t>Ribs/ Breast/ Chest</t>
  </si>
  <si>
    <t>Shoulder(s)</t>
  </si>
  <si>
    <t>Systemic</t>
  </si>
  <si>
    <t>throat/ Neck</t>
  </si>
  <si>
    <t>Toe (s)</t>
  </si>
  <si>
    <t>Trunk/ Torso</t>
  </si>
  <si>
    <t>Wrist(s)</t>
  </si>
  <si>
    <t>EMPLOYEE SAFETY RESPONSIILITIES &amp; INSTRUCTIONS: Conduct a Pre-Operation Safety Inspection of Work Area, Tools, Equipment and PPE Before Performing Job.  Insist on quality and effective training before you start any job or task.  Bring recognized hazards to the attention of your supervisor, and insist the hazard be addressed.   Stop and report unsafe behavior that puts you or others at risk. Report any work procedure that requires you to work unsafely, and insist it be changed.   Stop any job that puts you or others at an unacceptable (intolerable) level of risk.   Submit ideas to eliminate hazards or unsafe actions.   This JHA will be made readily available for use and reference by all affected users.</t>
  </si>
  <si>
    <t>Required PPE</t>
  </si>
  <si>
    <t>Eyes</t>
  </si>
  <si>
    <t>Safety Glasses</t>
  </si>
  <si>
    <t>Safety Glasses (filtered lens)</t>
  </si>
  <si>
    <t>Chemical Goggles</t>
  </si>
  <si>
    <t>UV Protective Safety glasses</t>
  </si>
  <si>
    <t>Face</t>
  </si>
  <si>
    <t>Face Shield</t>
  </si>
  <si>
    <t>Filter Face Shield</t>
  </si>
  <si>
    <t xml:space="preserve">Hard hat </t>
  </si>
  <si>
    <t>Bump Cap</t>
  </si>
  <si>
    <t>Ears</t>
  </si>
  <si>
    <t>Hearing Protection/Ear Plugs</t>
  </si>
  <si>
    <t xml:space="preserve">Dual Hearing Protection </t>
  </si>
  <si>
    <t>Hands</t>
  </si>
  <si>
    <t>Chemical Resistant gloves*</t>
  </si>
  <si>
    <t>Leather Work Gloves (over wrist)</t>
  </si>
  <si>
    <t>Cut Resistant Gloves</t>
  </si>
  <si>
    <t>Protective Sleeves</t>
  </si>
  <si>
    <t>Feet</t>
  </si>
  <si>
    <t>Safety Shoes - slip resistant or full covering</t>
  </si>
  <si>
    <t>Safety Shoes - Steel or Composite Toed</t>
  </si>
  <si>
    <t>Safety Shoes - Metatarsal</t>
  </si>
  <si>
    <t>Respiratory</t>
  </si>
  <si>
    <t>Respiratory Protection</t>
  </si>
  <si>
    <t>PAPR Respiratory System</t>
  </si>
  <si>
    <t>Supplied Air Respirator System</t>
  </si>
  <si>
    <t>Electrical Safety</t>
  </si>
  <si>
    <t>FR Electrical Safety Gloves</t>
  </si>
  <si>
    <t>FR Electical Clothing</t>
  </si>
  <si>
    <t>ESD Safety Shoes</t>
  </si>
  <si>
    <t>FR Electrical Protective Suit</t>
  </si>
  <si>
    <t>FR Head Protection</t>
  </si>
  <si>
    <t>FR Sleeves</t>
  </si>
  <si>
    <t>FR Face Shield</t>
  </si>
  <si>
    <t>Chemical Handling</t>
  </si>
  <si>
    <t>Chemical Resistant apron</t>
  </si>
  <si>
    <t>Chemical Protective Clothing</t>
  </si>
  <si>
    <t>Chemical Resistant Gloves</t>
  </si>
  <si>
    <t>Chemical Protective Suit</t>
  </si>
  <si>
    <t>Welding Protection **</t>
  </si>
  <si>
    <t>Welding Glasses/ Goggles **</t>
  </si>
  <si>
    <t>Welding Face Shield **</t>
  </si>
  <si>
    <t>Welding Mask/ Helmet**</t>
  </si>
  <si>
    <t>Welding clothes</t>
  </si>
  <si>
    <t>Welding Gloves</t>
  </si>
  <si>
    <t>Welding Cap/ Doo Rag</t>
  </si>
  <si>
    <t xml:space="preserve">Fall Protection </t>
  </si>
  <si>
    <t>Anchor</t>
  </si>
  <si>
    <t>Full Body Harness</t>
  </si>
  <si>
    <t>Body Belt</t>
  </si>
  <si>
    <t>Fall Arrest System</t>
  </si>
  <si>
    <t>Harness</t>
  </si>
  <si>
    <t>Lifeline/Limiters</t>
  </si>
  <si>
    <t>Lanyard</t>
  </si>
  <si>
    <t>Other</t>
  </si>
  <si>
    <t>(Describe)</t>
  </si>
  <si>
    <t>* Follow Manufacturers chemical compatibility chart to select appropriate gloves.</t>
  </si>
  <si>
    <t>** Follow regulatory PPE requirements and ANSI / AWS Shade Number Recommendation</t>
  </si>
  <si>
    <t>Reduction</t>
  </si>
  <si>
    <t>NO CONTROLS</t>
  </si>
  <si>
    <t>PPE</t>
  </si>
  <si>
    <t>TRAINING</t>
  </si>
  <si>
    <t>ADMINISTRATIVE</t>
  </si>
  <si>
    <t>CONTROLS WITH EMPLOYEE EXPOSURE</t>
  </si>
  <si>
    <t>CONTROLS ELIMINATE EMPLOYEE EXPOSURE</t>
  </si>
  <si>
    <t>SUBSTITUTION</t>
  </si>
  <si>
    <t xml:space="preserve">Remarks </t>
  </si>
  <si>
    <t>Please Use the second tab of the spreadsheet to create your Safety RA form</t>
  </si>
  <si>
    <t>Please ensure the form you created has the Document Number, Title and Revision for traceabilty to the form itself.</t>
  </si>
  <si>
    <t>Following is an example of form created with Document Number, Title and Revision. Please remove this remark when creating your template/ form</t>
  </si>
  <si>
    <t>Please insert page number in the footer of the spreadsheet you have created</t>
  </si>
  <si>
    <t xml:space="preserve">Please insert sheet name for tab in the footer under page layout </t>
  </si>
  <si>
    <t>CATEGORIAS</t>
  </si>
  <si>
    <t>EPP adecuado</t>
  </si>
  <si>
    <t>Permisos</t>
  </si>
  <si>
    <t>Barandales</t>
  </si>
  <si>
    <t>Manómetros</t>
  </si>
  <si>
    <t>Control de fauna</t>
  </si>
  <si>
    <t>Protecciones físicas</t>
  </si>
  <si>
    <t>EPP arc flash</t>
  </si>
  <si>
    <t>Rodilleras</t>
  </si>
  <si>
    <t>Encapsulado</t>
  </si>
  <si>
    <t>Cubiertas en partes móviles</t>
  </si>
  <si>
    <t>Guantes anticorte</t>
  </si>
  <si>
    <t>Ventilación</t>
  </si>
  <si>
    <t>Hidratación</t>
  </si>
  <si>
    <t>Distancia segura</t>
  </si>
  <si>
    <t>Puesta a tierra</t>
  </si>
  <si>
    <t>Zona de exclusión</t>
  </si>
  <si>
    <t>Rutas señalizadas</t>
  </si>
  <si>
    <t>Aseguramiento de carga</t>
  </si>
  <si>
    <t>Limpieza</t>
  </si>
  <si>
    <t>Arnés</t>
  </si>
  <si>
    <t>Refugios</t>
  </si>
  <si>
    <t>Capacitación defensiva</t>
  </si>
  <si>
    <t>Inspección</t>
  </si>
  <si>
    <t>LOTO</t>
  </si>
  <si>
    <t>Material compatible</t>
  </si>
  <si>
    <t>Guantes</t>
  </si>
  <si>
    <t>Carritos</t>
  </si>
  <si>
    <t>&lt;openpyxl.worksheet.formula.ArrayFormula object at 0x7fa0d06efdd0&gt;</t>
  </si>
  <si>
    <t>Monitoreo de gases</t>
  </si>
  <si>
    <t>Almacenamiento clase</t>
  </si>
  <si>
    <t>Careta</t>
  </si>
  <si>
    <t>Capacitación</t>
  </si>
  <si>
    <t>Pausas</t>
  </si>
  <si>
    <t>Ropa térmica</t>
  </si>
  <si>
    <t>Extintores</t>
  </si>
  <si>
    <t>Detectores</t>
  </si>
  <si>
    <t>Casco</t>
  </si>
  <si>
    <t>Control de humedad</t>
  </si>
  <si>
    <t>Control de fuentes</t>
  </si>
  <si>
    <t>Protección de mangueras</t>
  </si>
  <si>
    <t>Técnica adecuada</t>
  </si>
  <si>
    <t>Filtros</t>
  </si>
  <si>
    <t>Duchas de emergencia</t>
  </si>
  <si>
    <t>5S</t>
  </si>
  <si>
    <t>Almacenamiento seguro</t>
  </si>
  <si>
    <t>Bloqueo de área</t>
  </si>
  <si>
    <t>Rotación</t>
  </si>
  <si>
    <t>Protección superior</t>
  </si>
  <si>
    <t>Orden y limpieza</t>
  </si>
  <si>
    <t>Separación química</t>
  </si>
  <si>
    <t>Protocolos</t>
  </si>
  <si>
    <t>Resguardos mecánicos</t>
  </si>
  <si>
    <t>Gafas</t>
  </si>
  <si>
    <t>Higiene</t>
  </si>
  <si>
    <t>Iluminación adecuada</t>
  </si>
  <si>
    <t>Respiradores</t>
  </si>
  <si>
    <t>Gestión de carga</t>
  </si>
  <si>
    <t>Bloqueos</t>
  </si>
  <si>
    <t>Barreras</t>
  </si>
  <si>
    <t>Blindaje</t>
  </si>
  <si>
    <t>Filtros UV</t>
  </si>
  <si>
    <t>Tapetes antideslizantes</t>
  </si>
  <si>
    <t>CCTV</t>
  </si>
  <si>
    <t>Controles de ingeniería</t>
  </si>
  <si>
    <t>Detección previa</t>
  </si>
  <si>
    <t>Válvulas de alivio</t>
  </si>
  <si>
    <t>Aislamiento térmico</t>
  </si>
  <si>
    <t>Sistemas anti-caídas</t>
  </si>
  <si>
    <t>Monitoreo</t>
  </si>
  <si>
    <t>Evaluación de ruta</t>
  </si>
  <si>
    <t>Vigilancia</t>
  </si>
  <si>
    <t>Zonas peatonales</t>
  </si>
  <si>
    <t>Herramientas antivibración</t>
  </si>
  <si>
    <t>resguardos</t>
  </si>
  <si>
    <t>coordinación</t>
  </si>
  <si>
    <t>salvavidas</t>
  </si>
  <si>
    <t>control de accesos</t>
  </si>
  <si>
    <t>válvulas reguladoras</t>
  </si>
  <si>
    <t>EPP</t>
  </si>
  <si>
    <t>distancia segura</t>
  </si>
  <si>
    <t>alternancia</t>
  </si>
  <si>
    <t>retiro especializado</t>
  </si>
  <si>
    <t>ropa ajustada</t>
  </si>
  <si>
    <t>detectores de gas</t>
  </si>
  <si>
    <t>descansos</t>
  </si>
  <si>
    <t>blindaje</t>
  </si>
  <si>
    <t>control de humedad</t>
  </si>
  <si>
    <t>radios</t>
  </si>
  <si>
    <t>spotters</t>
  </si>
  <si>
    <t>pruebas de estabilidad</t>
  </si>
  <si>
    <t>señalización</t>
  </si>
  <si>
    <t>líneas de vida</t>
  </si>
  <si>
    <t>rotación de trabajo</t>
  </si>
  <si>
    <t>mantenimiento del vehículo</t>
  </si>
  <si>
    <t>reemplazo inmediato</t>
  </si>
  <si>
    <t>detección de voltaje</t>
  </si>
  <si>
    <t>supervisión</t>
  </si>
  <si>
    <t>neutralizantes</t>
  </si>
  <si>
    <t>mantenimiento</t>
  </si>
  <si>
    <t>ergonomía</t>
  </si>
  <si>
    <t>ventilación</t>
  </si>
  <si>
    <t>aislamiento</t>
  </si>
  <si>
    <t>gafas de seguridad</t>
  </si>
  <si>
    <t>inducción</t>
  </si>
  <si>
    <t>turnos adecuados</t>
  </si>
  <si>
    <t>refugios</t>
  </si>
  <si>
    <t>rociadores</t>
  </si>
  <si>
    <t>SCBA</t>
  </si>
  <si>
    <t>orden y limpieza</t>
  </si>
  <si>
    <t>herramientas en buen estado</t>
  </si>
  <si>
    <t>secado de superficies</t>
  </si>
  <si>
    <t>inertización</t>
  </si>
  <si>
    <t>control de chispas</t>
  </si>
  <si>
    <t>bloqueo de energía</t>
  </si>
  <si>
    <t>ayudas mecánicas</t>
  </si>
  <si>
    <t>disipación controlada de energía</t>
  </si>
  <si>
    <t>EPP químico</t>
  </si>
  <si>
    <t>planificación</t>
  </si>
  <si>
    <t>pausas activas</t>
  </si>
  <si>
    <t>extintores</t>
  </si>
  <si>
    <t>almacenamiento seguro</t>
  </si>
  <si>
    <t>rutas despejadas</t>
  </si>
  <si>
    <t>pantallas</t>
  </si>
  <si>
    <t>EPP biológico</t>
  </si>
  <si>
    <t>mantenimiento de lámparas</t>
  </si>
  <si>
    <t>contención</t>
  </si>
  <si>
    <t>pausas</t>
  </si>
  <si>
    <t>procedimientos</t>
  </si>
  <si>
    <t>monitoreo</t>
  </si>
  <si>
    <t>monitoreo dosimétrico</t>
  </si>
  <si>
    <t>protección ocular</t>
  </si>
  <si>
    <t>control de derrames</t>
  </si>
  <si>
    <t>detectores</t>
  </si>
  <si>
    <t>barreras acústicas</t>
  </si>
  <si>
    <t>EPP auditivo</t>
  </si>
  <si>
    <t>planos actualizados</t>
  </si>
  <si>
    <t>inspecciones periódicas</t>
  </si>
  <si>
    <t>capacitación</t>
  </si>
  <si>
    <t>inspección de equipo</t>
  </si>
  <si>
    <t>iluminación</t>
  </si>
  <si>
    <t>speed bumps</t>
  </si>
  <si>
    <t>rotación de tareas</t>
  </si>
  <si>
    <t>antivibración</t>
  </si>
  <si>
    <t>superficies lisas</t>
  </si>
  <si>
    <t>inducción de seguridad</t>
  </si>
  <si>
    <t>mantenimiento preventivo</t>
  </si>
  <si>
    <t>sensores de presencia</t>
  </si>
  <si>
    <t>inspección de herramientas</t>
  </si>
  <si>
    <t>respiradores</t>
  </si>
  <si>
    <t>sombra</t>
  </si>
  <si>
    <t>equipo certificado</t>
  </si>
  <si>
    <t>equipo de izaje certificado</t>
  </si>
  <si>
    <t>uso de cinchos y eslingas certificadas</t>
  </si>
  <si>
    <t>calzado antiderrapante</t>
  </si>
  <si>
    <t>barandales</t>
  </si>
  <si>
    <t>EPP clase 0/00</t>
  </si>
  <si>
    <t>permisos de entrada</t>
  </si>
  <si>
    <t>pantallas protectoras</t>
  </si>
  <si>
    <t>calentadores</t>
  </si>
  <si>
    <t>detección</t>
  </si>
  <si>
    <t>válvulas de seguridad</t>
  </si>
  <si>
    <t>higiene</t>
  </si>
  <si>
    <t>sensores</t>
  </si>
  <si>
    <t>desinfección</t>
  </si>
  <si>
    <t>acceso restringido</t>
  </si>
  <si>
    <t>barreras</t>
  </si>
  <si>
    <t>tapones auditivos</t>
  </si>
  <si>
    <t>pruebas hidrostáticas</t>
  </si>
  <si>
    <t>guantes térmicos</t>
  </si>
  <si>
    <t>límites de exposición</t>
  </si>
  <si>
    <t>resguardos fijos</t>
  </si>
  <si>
    <t>capacitación en manejo seguro</t>
  </si>
  <si>
    <t>operador autorizado</t>
  </si>
  <si>
    <t>bloqueo de áreas</t>
  </si>
  <si>
    <t>andamios certificados</t>
  </si>
  <si>
    <t>NombreDefinido</t>
  </si>
  <si>
    <t>Abrasion_friccion_ctrl</t>
  </si>
  <si>
    <t>Actividad_de_terceros_ctrl</t>
  </si>
  <si>
    <t>Agarre_deficiente_ctrl</t>
  </si>
  <si>
    <t>Ahogamiento_ctrl</t>
  </si>
  <si>
    <t>Allanamiento_ctrl</t>
  </si>
  <si>
    <t>Alta_o_baja_presion_ctrl</t>
  </si>
  <si>
    <t>Animales_plantas_ctrl</t>
  </si>
  <si>
    <t>Aplastamiento_ctrl</t>
  </si>
  <si>
    <t>Arco_electrico_ctrl</t>
  </si>
  <si>
    <t>Arrodillarse_ctrl</t>
  </si>
  <si>
    <t>Asbesto_ctrl</t>
  </si>
  <si>
    <t>Atrapamiento_ctrl</t>
  </si>
  <si>
    <t>Bordes_afilados_ctrl</t>
  </si>
  <si>
    <t>Calidad_del_aire_ctrl</t>
  </si>
  <si>
    <t>Calor_excesivo_ctrl</t>
  </si>
  <si>
    <t>Campos_electromagneticos_ctrl</t>
  </si>
  <si>
    <t>Carga_electrostatica_ctrl</t>
  </si>
  <si>
    <t>Carga_suspendida_ctrl</t>
  </si>
  <si>
    <t>Cargas_en_movimiento_ctrl</t>
  </si>
  <si>
    <t>Cargas_inestables_ctrl</t>
  </si>
  <si>
    <t>Caida_a_nivel_ctrl</t>
  </si>
  <si>
    <t>Caidas_de_altura_ctrl</t>
  </si>
  <si>
    <t>Clima_extremo_ctrl</t>
  </si>
  <si>
    <t>Conducir_ctrl</t>
  </si>
  <si>
    <t>Conductores_danados_ctrl</t>
  </si>
  <si>
    <t>Conductores_energizados_ctrl</t>
  </si>
  <si>
    <t>Contratistas_ctrl</t>
  </si>
  <si>
    <t>Corrosivos_ctrl</t>
  </si>
  <si>
    <t>Cuchillas_puntas_ctrl</t>
  </si>
  <si>
    <t>Dano_a_propiedad_ctrl</t>
  </si>
  <si>
    <t>Empuje_jalon_ctrl</t>
  </si>
  <si>
    <t>Env_or_H_S_ctrl</t>
  </si>
  <si>
    <t>Espacio_confinado_ctrl</t>
  </si>
  <si>
    <t>Explosivos_ctrl</t>
  </si>
  <si>
    <t>Eyeccion_de_material_ctrl</t>
  </si>
  <si>
    <t>Falta_de_familiaridad_ctrl</t>
  </si>
  <si>
    <t>Fatiga_ctrl</t>
  </si>
  <si>
    <t>Frio_extremo_ctrl</t>
  </si>
  <si>
    <t>Fuego_ctrl</t>
  </si>
  <si>
    <t>Gases_toxicos_ctrl</t>
  </si>
  <si>
    <t>Golpes_con_objetos_ctrl</t>
  </si>
  <si>
    <t>Herramientas_manuales_ctrl</t>
  </si>
  <si>
    <t>Humedad_ctrl</t>
  </si>
  <si>
    <t>Ignicion_accidental_ctrl</t>
  </si>
  <si>
    <t>Inflamables_ctrl</t>
  </si>
  <si>
    <t>Inyeccion_por_presion_ctrl</t>
  </si>
  <si>
    <t>Irritantes_ctrl</t>
  </si>
  <si>
    <t>Levantamiento_manual_ctrl</t>
  </si>
  <si>
    <t>Liberacion_de_energia_ctrl</t>
  </si>
  <si>
    <t>Luz_excesiva_ctrl</t>
  </si>
  <si>
    <t>Liquidos_toxicos_ctrl</t>
  </si>
  <si>
    <t>Mala_organizacion_ctrl</t>
  </si>
  <si>
    <t>Mala_postura_ctrl</t>
  </si>
  <si>
    <t>Material_combustible_ctrl</t>
  </si>
  <si>
    <t>Materiales_suspendidos_ctrl</t>
  </si>
  <si>
    <t>Medio_Ambiente_ctrl</t>
  </si>
  <si>
    <t>Movimientos_repetitivos_ctrl</t>
  </si>
  <si>
    <t>Objetos_que_caen_ctrl</t>
  </si>
  <si>
    <t>Obstrucciones_ctrl</t>
  </si>
  <si>
    <t>Oxidantes_ctrl</t>
  </si>
  <si>
    <t>Pandemia_ctrl</t>
  </si>
  <si>
    <t>Partes_moviles_ctrl</t>
  </si>
  <si>
    <t>Particulas_expulsadas_ctrl</t>
  </si>
  <si>
    <t>Patogenos_ctrl</t>
  </si>
  <si>
    <t>Poca_iluminacion_ctrl</t>
  </si>
  <si>
    <t>Polvos_toxicos_ctrl</t>
  </si>
  <si>
    <t>Postura_prolongada_ctrl</t>
  </si>
  <si>
    <t>Presion_laboral_ctrl</t>
  </si>
  <si>
    <t>Prueba_de_producto_ctrl</t>
  </si>
  <si>
    <t>Radiacion_ctrl</t>
  </si>
  <si>
    <t>Radiacion_ionizante_ctrl</t>
  </si>
  <si>
    <t>Radiacion_no_ionizante_ctrl</t>
  </si>
  <si>
    <t>Resbalones_ctrl</t>
  </si>
  <si>
    <t>Respiratorios_irritantes_ctrl</t>
  </si>
  <si>
    <t>Robo_ctrl</t>
  </si>
  <si>
    <t>Ruido_ctrl</t>
  </si>
  <si>
    <t>Ruido_herramientas_ctrl</t>
  </si>
  <si>
    <t>Salud_ctrl</t>
  </si>
  <si>
    <t>Seguridad_ctrl</t>
  </si>
  <si>
    <t>Servicios_desconocidos_ctrl</t>
  </si>
  <si>
    <t>Sistema_de_presion_ctrl</t>
  </si>
  <si>
    <t>Superficie_caliente_fria_ctrl</t>
  </si>
  <si>
    <t>Torsion_ctrl</t>
  </si>
  <si>
    <t>Trabajo_en_altura_ctrl</t>
  </si>
  <si>
    <t>Trabajo_en_solitario_ctrl</t>
  </si>
  <si>
    <t>Trabajo_estatico_ctrl</t>
  </si>
  <si>
    <t>Trabajo_movil_ctrl</t>
  </si>
  <si>
    <t>Vandalismo_ctrl</t>
  </si>
  <si>
    <t>Vehiculos_trafico_ctrl</t>
  </si>
  <si>
    <t>Vibracion_ctrl</t>
  </si>
  <si>
    <t>Vibracion_herramientas_ctrl</t>
  </si>
  <si>
    <t>No aplica EPP</t>
  </si>
  <si>
    <t>Guantes dieléctricos (clase según voltaje)</t>
  </si>
  <si>
    <t>Respirador P100</t>
  </si>
  <si>
    <t>Guantes anticorte (nivel adecuado)</t>
  </si>
  <si>
    <t>Respirador (P100/químico) o SCBA según concentración</t>
  </si>
  <si>
    <t>Casco clase E</t>
  </si>
  <si>
    <t>No aplica EPP específico</t>
  </si>
  <si>
    <t>Ropa antiestática</t>
  </si>
  <si>
    <t>Arnés clase A</t>
  </si>
  <si>
    <t>Guantes térmicos</t>
  </si>
  <si>
    <t>&lt;openpyxl.worksheet.formula.ArrayFormula object at 0x7fa0d06efe00&gt;</t>
  </si>
  <si>
    <t>Protección facial integral</t>
  </si>
  <si>
    <t>N95</t>
  </si>
  <si>
    <t>Dosímetro</t>
  </si>
  <si>
    <t>Chaleco alta visibilidad clase 2/3</t>
  </si>
  <si>
    <t>lentes</t>
  </si>
  <si>
    <t>medidas administrativas y control de accesos</t>
  </si>
  <si>
    <t>calzado aislante</t>
  </si>
  <si>
    <t>overol desechable</t>
  </si>
  <si>
    <t>mangas anticorte</t>
  </si>
  <si>
    <t>goggles</t>
  </si>
  <si>
    <t>botas con casquillo</t>
  </si>
  <si>
    <t>priorizar distancia y blindaje</t>
  </si>
  <si>
    <t>calzado conductivo</t>
  </si>
  <si>
    <t>línea de vida con absorbedor</t>
  </si>
  <si>
    <t>ropa resistente al calor</t>
  </si>
  <si>
    <t>ropa FR/antiestática</t>
  </si>
  <si>
    <t>ropa térmica/FR según caso</t>
  </si>
  <si>
    <t>goggles o careta</t>
  </si>
  <si>
    <t>lentes plomados</t>
  </si>
  <si>
    <t>casco</t>
  </si>
  <si>
    <t>guantes y calzado de seguridad</t>
  </si>
  <si>
    <t>careta y ropa arc flash</t>
  </si>
  <si>
    <t>guantes</t>
  </si>
  <si>
    <t>lentes de seguridad</t>
  </si>
  <si>
    <t>guantes químicos</t>
  </si>
  <si>
    <t>guantes de trabajo</t>
  </si>
  <si>
    <t>pulsera de tierra (según proceso)</t>
  </si>
  <si>
    <t>casco con barboquejo</t>
  </si>
  <si>
    <t>visor térmico</t>
  </si>
  <si>
    <t>guantes desechables</t>
  </si>
  <si>
    <t>delantal plomado</t>
  </si>
  <si>
    <t>casco clase E</t>
  </si>
  <si>
    <t>chaleco alta visibilidad</t>
  </si>
  <si>
    <t>calzado dieléctrico</t>
  </si>
  <si>
    <t>bata/overol desechable</t>
  </si>
  <si>
    <t>Abrasion_friccion_epp</t>
  </si>
  <si>
    <t>Actividad_de_terceros_epp</t>
  </si>
  <si>
    <t>Agarre_deficiente_epp</t>
  </si>
  <si>
    <t>Ahogamiento_epp</t>
  </si>
  <si>
    <t>Allanamiento_epp</t>
  </si>
  <si>
    <t>Alta_o_baja_presion_epp</t>
  </si>
  <si>
    <t>Animales_plantas_epp</t>
  </si>
  <si>
    <t>Aplastamiento_epp</t>
  </si>
  <si>
    <t>Arco_electrico_epp</t>
  </si>
  <si>
    <t>Arrodillarse_epp</t>
  </si>
  <si>
    <t>Asbesto_epp</t>
  </si>
  <si>
    <t>Atrapamiento_epp</t>
  </si>
  <si>
    <t>Bordes_afilados_epp</t>
  </si>
  <si>
    <t>Calidad_del_aire_epp</t>
  </si>
  <si>
    <t>Calor_excesivo_epp</t>
  </si>
  <si>
    <t>Campos_electromagneticos_epp</t>
  </si>
  <si>
    <t>Carga_electrostatica_epp</t>
  </si>
  <si>
    <t>Carga_suspendida_epp</t>
  </si>
  <si>
    <t>Cargas_en_movimiento_epp</t>
  </si>
  <si>
    <t>Cargas_inestables_epp</t>
  </si>
  <si>
    <t>Caida_a_nivel_epp</t>
  </si>
  <si>
    <t>Caidas_de_altura_epp</t>
  </si>
  <si>
    <t>Clima_extremo_epp</t>
  </si>
  <si>
    <t>Conducir_epp</t>
  </si>
  <si>
    <t>Conductores_danados_epp</t>
  </si>
  <si>
    <t>Conductores_energizados_epp</t>
  </si>
  <si>
    <t>Contratistas_epp</t>
  </si>
  <si>
    <t>Corrosivos_epp</t>
  </si>
  <si>
    <t>Cuchillas_puntas_epp</t>
  </si>
  <si>
    <t>Dano_a_propiedad_epp</t>
  </si>
  <si>
    <t>Empuje_jalon_epp</t>
  </si>
  <si>
    <t>Env_or_H_S_epp</t>
  </si>
  <si>
    <t>Espacio_confinado_epp</t>
  </si>
  <si>
    <t>Explosivos_epp</t>
  </si>
  <si>
    <t>Eyeccion_de_material_epp</t>
  </si>
  <si>
    <t>Falta_de_familiaridad_epp</t>
  </si>
  <si>
    <t>Fatiga_epp</t>
  </si>
  <si>
    <t>Frio_extremo_epp</t>
  </si>
  <si>
    <t>Fuego_epp</t>
  </si>
  <si>
    <t>Gases_toxicos_epp</t>
  </si>
  <si>
    <t>Golpes_con_objetos_epp</t>
  </si>
  <si>
    <t>Herramientas_manuales_epp</t>
  </si>
  <si>
    <t>Humedad_epp</t>
  </si>
  <si>
    <t>Ignicion_accidental_epp</t>
  </si>
  <si>
    <t>Inflamables_epp</t>
  </si>
  <si>
    <t>Inyeccion_por_presion_epp</t>
  </si>
  <si>
    <t>Irritantes_epp</t>
  </si>
  <si>
    <t>Levantamiento_manual_epp</t>
  </si>
  <si>
    <t>Liberacion_de_energia_epp</t>
  </si>
  <si>
    <t>Luz_excesiva_epp</t>
  </si>
  <si>
    <t>Liquidos_toxicos_epp</t>
  </si>
  <si>
    <t>Mala_organizacion_epp</t>
  </si>
  <si>
    <t>Mala_postura_epp</t>
  </si>
  <si>
    <t>Material_combustible_epp</t>
  </si>
  <si>
    <t>Materiales_suspendidos_epp</t>
  </si>
  <si>
    <t>Movimientos_repetitivos_epp</t>
  </si>
  <si>
    <t>Objetos_que_caen_epp</t>
  </si>
  <si>
    <t>Obstrucciones_epp</t>
  </si>
  <si>
    <t>Oxidantes_epp</t>
  </si>
  <si>
    <t>Pandemia_epp</t>
  </si>
  <si>
    <t>Partes_moviles_epp</t>
  </si>
  <si>
    <t>Particulas_expulsadas_epp</t>
  </si>
  <si>
    <t>Patogenos_epp</t>
  </si>
  <si>
    <t>Poca_iluminacion_epp</t>
  </si>
  <si>
    <t>Polvos_toxicos_epp</t>
  </si>
  <si>
    <t>Postura_prolongada_epp</t>
  </si>
  <si>
    <t>Presion_laboral_epp</t>
  </si>
  <si>
    <t>Prueba_de_producto_epp</t>
  </si>
  <si>
    <t>Radiacion_epp</t>
  </si>
  <si>
    <t>Radiacion_ionizante_epp</t>
  </si>
  <si>
    <t>Radiacion_no_ionizante_epp</t>
  </si>
  <si>
    <t>Resbalones_epp</t>
  </si>
  <si>
    <t>Respiratorios_irritantes_epp</t>
  </si>
  <si>
    <t>Robo_epp</t>
  </si>
  <si>
    <t>Ruido_epp</t>
  </si>
  <si>
    <t>Ruido_herramientas_epp</t>
  </si>
  <si>
    <t>Servicios_desconocidos_epp</t>
  </si>
  <si>
    <t>Sistema_de_presion_epp</t>
  </si>
  <si>
    <t>Superficie_caliente_fria_epp</t>
  </si>
  <si>
    <t>Torsion_epp</t>
  </si>
  <si>
    <t>Trabajo_en_altura_epp</t>
  </si>
  <si>
    <t>Trabajo_en_solitario_epp</t>
  </si>
  <si>
    <t>Trabajo_estatico_epp</t>
  </si>
  <si>
    <t>Trabajo_movil_epp</t>
  </si>
  <si>
    <t>Vandalismo_epp</t>
  </si>
  <si>
    <t>Vehiculos_trafico_epp</t>
  </si>
  <si>
    <t>Vibracion_epp</t>
  </si>
  <si>
    <t>Vibracion_herramientas_epp</t>
  </si>
  <si>
    <t>Colisiones/interferencias</t>
  </si>
  <si>
    <t>Asfixia por inmersión</t>
  </si>
  <si>
    <t>Mordeduras/picaduras</t>
  </si>
  <si>
    <t>Quemaduras por arco</t>
  </si>
  <si>
    <t>Asbestosis</t>
  </si>
  <si>
    <t>Irritación respiratoria</t>
  </si>
  <si>
    <t>Interferencia en dispositivos médicos</t>
  </si>
  <si>
    <t>Descarga/choque estático</t>
  </si>
  <si>
    <t>Golpe por caída</t>
  </si>
  <si>
    <t>Caída de carga</t>
  </si>
  <si>
    <t>Esguinces</t>
  </si>
  <si>
    <t>Trauma craneoencefálico</t>
  </si>
  <si>
    <t>Hipotermia/hipertermia</t>
  </si>
  <si>
    <t>Colisiones</t>
  </si>
  <si>
    <t>Incidentes por coordinación</t>
  </si>
  <si>
    <t>Quemadura química</t>
  </si>
  <si>
    <t>Pérdidas económicas</t>
  </si>
  <si>
    <t>Onda expansiva</t>
  </si>
  <si>
    <t>Errores de procedimiento</t>
  </si>
  <si>
    <t>Disminución de vigilancia</t>
  </si>
  <si>
    <t>Quemaduras térmicas</t>
  </si>
  <si>
    <t>Asfixia química</t>
  </si>
  <si>
    <t>Contusión</t>
  </si>
  <si>
    <t>Necrosis tisular</t>
  </si>
  <si>
    <t>Explosión local/estallido</t>
  </si>
  <si>
    <t>Deslumbramiento</t>
  </si>
  <si>
    <t>Intoxicación por contacto/inhalación</t>
  </si>
  <si>
    <t>Dolor lumbar</t>
  </si>
  <si>
    <t>Traumatismo craneal</t>
  </si>
  <si>
    <t>Reacción exotérmica</t>
  </si>
  <si>
    <t>Infección</t>
  </si>
  <si>
    <t>Tropiezos/caídas</t>
  </si>
  <si>
    <t>Neumoconiosis</t>
  </si>
  <si>
    <t>Estrés</t>
  </si>
  <si>
    <t>Fugas/derrames</t>
  </si>
  <si>
    <t>Lesión ocular/cutánea</t>
  </si>
  <si>
    <t>Daño celular/ADN</t>
  </si>
  <si>
    <t>Quemadura por UV</t>
  </si>
  <si>
    <t>Broncoespasmo</t>
  </si>
  <si>
    <t>Riesgo al personal (agresión)</t>
  </si>
  <si>
    <t>Estallido/explosión</t>
  </si>
  <si>
    <t>Quemadura térmica</t>
  </si>
  <si>
    <t>Respuesta tardía ante emergencias</t>
  </si>
  <si>
    <t>Fatiga muscular</t>
  </si>
  <si>
    <t>Caídas desde vehículo/plataforma</t>
  </si>
  <si>
    <t>Daño a infraestructura</t>
  </si>
  <si>
    <t>Trastorno mano-brazo (vascular/neurológico)</t>
  </si>
  <si>
    <t>Trastorno mano-brazo</t>
  </si>
  <si>
    <t>Quemadura por fricción</t>
  </si>
  <si>
    <t>Lesiones por coordinación deficiente</t>
  </si>
  <si>
    <t>Hipoxia severa</t>
  </si>
  <si>
    <t>Daños a instalaciones</t>
  </si>
  <si>
    <t>Hipoxia</t>
  </si>
  <si>
    <t>Alergias</t>
  </si>
  <si>
    <t>Fracturas múltiples</t>
  </si>
  <si>
    <t>Bursitis</t>
  </si>
  <si>
    <t>Cáncer de pulmón</t>
  </si>
  <si>
    <t>Laceraciones profundas</t>
  </si>
  <si>
    <t>Deshidratación</t>
  </si>
  <si>
    <t>Efectos térmicos locales</t>
  </si>
  <si>
    <t>Ignición de vapores</t>
  </si>
  <si>
    <t>Golpes/contusiones</t>
  </si>
  <si>
    <t>Contusiones</t>
  </si>
  <si>
    <t>Lesiones por viento y escombros</t>
  </si>
  <si>
    <t>Atropellamientos</t>
  </si>
  <si>
    <t>Interrupción del proceso</t>
  </si>
  <si>
    <t>Proyección de esquirlas</t>
  </si>
  <si>
    <t>Laceraciones</t>
  </si>
  <si>
    <t>Congelación</t>
  </si>
  <si>
    <t>Inhalación de humo</t>
  </si>
  <si>
    <t>Intoxicación aguda</t>
  </si>
  <si>
    <t>Laceración</t>
  </si>
  <si>
    <t>Choque eléctrico incrementado</t>
  </si>
  <si>
    <t>Síndrome compartimental</t>
  </si>
  <si>
    <t>Irritación ocular</t>
  </si>
  <si>
    <t>Proyección de fragmentos</t>
  </si>
  <si>
    <t>Fatiga ocular</t>
  </si>
  <si>
    <t>Retrasos/ineficiencias</t>
  </si>
  <si>
    <t>Trastornos musculoesqueléticos</t>
  </si>
  <si>
    <t>Síndrome del túnel carpiano</t>
  </si>
  <si>
    <t>Errores operativos</t>
  </si>
  <si>
    <t>Dolor lumbar/cervical</t>
  </si>
  <si>
    <t>Exposición a energías</t>
  </si>
  <si>
    <t>Fotoqueratitis/lesión ocular</t>
  </si>
  <si>
    <t>Tos persistente</t>
  </si>
  <si>
    <t>Pérdida de activos</t>
  </si>
  <si>
    <t>Tinnitus (zumbido)</t>
  </si>
  <si>
    <t>Tinnitus</t>
  </si>
  <si>
    <t>Fuga de gas/agua</t>
  </si>
  <si>
    <t>Lesión vertebral</t>
  </si>
  <si>
    <t>Golpe por caída de herramientas</t>
  </si>
  <si>
    <t>Mayor severidad del daño</t>
  </si>
  <si>
    <t>Dolor postural</t>
  </si>
  <si>
    <t>Interrupción operativa</t>
  </si>
  <si>
    <t>Colisión</t>
  </si>
  <si>
    <t>Entumecimiento</t>
  </si>
  <si>
    <t>Infección cutánea</t>
  </si>
  <si>
    <t>Daños a propiedad</t>
  </si>
  <si>
    <t>Paro cardiorrespiratorio</t>
  </si>
  <si>
    <t>Embolia gaseosa</t>
  </si>
  <si>
    <t>Infecciones</t>
  </si>
  <si>
    <t>Lesión interna</t>
  </si>
  <si>
    <t>Mesotelioma</t>
  </si>
  <si>
    <t>Asfixia mecánica</t>
  </si>
  <si>
    <t>Hemorragia</t>
  </si>
  <si>
    <t>Calambres por calor</t>
  </si>
  <si>
    <t>Cefaleas/malestar</t>
  </si>
  <si>
    <t>Quemaduras leves</t>
  </si>
  <si>
    <t>Fractura de muñeca/cadera</t>
  </si>
  <si>
    <t>Lesión medular</t>
  </si>
  <si>
    <t>Inundación</t>
  </si>
  <si>
    <t>Lesiones graves</t>
  </si>
  <si>
    <t>Fibrilación</t>
  </si>
  <si>
    <t>Lesión ocular severa</t>
  </si>
  <si>
    <t>Laceración profunda</t>
  </si>
  <si>
    <t>Riesgo secundario al personal</t>
  </si>
  <si>
    <t>Sobreesfuerzo</t>
  </si>
  <si>
    <t>Traumas severos</t>
  </si>
  <si>
    <t>Daño a equipos</t>
  </si>
  <si>
    <t>Disminución de destreza</t>
  </si>
  <si>
    <t>Quemadura pulmonar</t>
  </si>
  <si>
    <t>Fractura</t>
  </si>
  <si>
    <t>Dermatitis/moho</t>
  </si>
  <si>
    <t>Infección grave</t>
  </si>
  <si>
    <t>Tos</t>
  </si>
  <si>
    <t>Hernias</t>
  </si>
  <si>
    <t>Quemadura UV</t>
  </si>
  <si>
    <t>Omisión de EPP</t>
  </si>
  <si>
    <t>Inhalación de humo tóxico</t>
  </si>
  <si>
    <t>Ausentismo elevado</t>
  </si>
  <si>
    <t>Inhalación de polvo</t>
  </si>
  <si>
    <t>Fiebre</t>
  </si>
  <si>
    <t>Asma ocupacional</t>
  </si>
  <si>
    <t>Várices</t>
  </si>
  <si>
    <t>Errores críticos</t>
  </si>
  <si>
    <t>Quemaduras químicas/térmicas</t>
  </si>
  <si>
    <t>Daño celular</t>
  </si>
  <si>
    <t>Síndrome de irradiación</t>
  </si>
  <si>
    <t>Quemadura cutánea</t>
  </si>
  <si>
    <t>Irritación vías aéreas altas</t>
  </si>
  <si>
    <t>Ampollas</t>
  </si>
  <si>
    <t>Dolor agudo</t>
  </si>
  <si>
    <t>Suspensión prolongada</t>
  </si>
  <si>
    <t>Disminución de circulación</t>
  </si>
  <si>
    <t>Lesiones por tránsito</t>
  </si>
  <si>
    <t>Lesiones por agresión</t>
  </si>
  <si>
    <t>Trauma múltiple</t>
  </si>
  <si>
    <t>Dolor musculoesquelético</t>
  </si>
  <si>
    <t>Dolor</t>
  </si>
  <si>
    <t>Paros operativos</t>
  </si>
  <si>
    <t>Interrupción de seguridad</t>
  </si>
  <si>
    <t>Lesión auditiva</t>
  </si>
  <si>
    <t>Intoxicaciones</t>
  </si>
  <si>
    <t>Abrasión</t>
  </si>
  <si>
    <t>Fibrosis</t>
  </si>
  <si>
    <t>Lesiones por compresión</t>
  </si>
  <si>
    <t>Infección de herida</t>
  </si>
  <si>
    <t>Agotamiento por calor</t>
  </si>
  <si>
    <t>Daño electrónico</t>
  </si>
  <si>
    <t>Fallo de equipo</t>
  </si>
  <si>
    <t>Paros</t>
  </si>
  <si>
    <t>Daño respiratorio</t>
  </si>
  <si>
    <t>Retrabajos</t>
  </si>
  <si>
    <t>Pérdida de conciencia</t>
  </si>
  <si>
    <t>Lesiones musculares</t>
  </si>
  <si>
    <t>Lesión musculoesquelética</t>
  </si>
  <si>
    <t>Daño a la propiedad</t>
  </si>
  <si>
    <t>TCE leve</t>
  </si>
  <si>
    <t>Deterioro de equipos</t>
  </si>
  <si>
    <t>Daños a infraestructura</t>
  </si>
  <si>
    <t>Rinitis</t>
  </si>
  <si>
    <t>Lesión crónica</t>
  </si>
  <si>
    <t>Lesiones por onda expansiva</t>
  </si>
  <si>
    <t>Choques de actividades</t>
  </si>
  <si>
    <t>Corrosión</t>
  </si>
  <si>
    <t>Brote</t>
  </si>
  <si>
    <t>Cáncer (según agente)</t>
  </si>
  <si>
    <t>Trastornos musculares</t>
  </si>
  <si>
    <t>Cáncer (según exposición)</t>
  </si>
  <si>
    <t>Cataratas</t>
  </si>
  <si>
    <t>Irritación</t>
  </si>
  <si>
    <t>Golpe en la cabeza</t>
  </si>
  <si>
    <t>Asma</t>
  </si>
  <si>
    <t>Lesión por contacto</t>
  </si>
  <si>
    <t>Desgarro</t>
  </si>
  <si>
    <t>Trauma</t>
  </si>
  <si>
    <t>Violencia externa</t>
  </si>
  <si>
    <t>Calambres</t>
  </si>
  <si>
    <t>Abrasion_friccion</t>
  </si>
  <si>
    <t>Actividad_de_terceros</t>
  </si>
  <si>
    <t>Agarre_deficiente</t>
  </si>
  <si>
    <t>Alta_o_baja_presion</t>
  </si>
  <si>
    <t>Animales_plantas</t>
  </si>
  <si>
    <t>Arco_electrico</t>
  </si>
  <si>
    <t>Bordes_afilados</t>
  </si>
  <si>
    <t>Calidad_del_aire</t>
  </si>
  <si>
    <t>Calor_excesivo</t>
  </si>
  <si>
    <t>Campos_electromagneticos</t>
  </si>
  <si>
    <t>Carga_electrostatica</t>
  </si>
  <si>
    <t>Carga_suspendida</t>
  </si>
  <si>
    <t>Cargas_en_movimiento</t>
  </si>
  <si>
    <t>Cargas_inestables</t>
  </si>
  <si>
    <t>Caida_a_nivel</t>
  </si>
  <si>
    <t>Caidas_de_altura</t>
  </si>
  <si>
    <t>Clima_extremo</t>
  </si>
  <si>
    <t>Conductores_danados</t>
  </si>
  <si>
    <t>Conductores_energizados</t>
  </si>
  <si>
    <t>Cuchillas_puntas</t>
  </si>
  <si>
    <t>Dano_a_propiedad</t>
  </si>
  <si>
    <t>Empuje_jalon</t>
  </si>
  <si>
    <t>Espacio_confinado</t>
  </si>
  <si>
    <t>Eyeccion_de_material</t>
  </si>
  <si>
    <t>Falta_de_familiaridad</t>
  </si>
  <si>
    <t>Frio_extremo</t>
  </si>
  <si>
    <t>Gases_toxicos</t>
  </si>
  <si>
    <t>Golpes_con_objetos</t>
  </si>
  <si>
    <t>Herramientas_manuales</t>
  </si>
  <si>
    <t>Ignicion_accidental</t>
  </si>
  <si>
    <t>Inyeccion_por_presion</t>
  </si>
  <si>
    <t>Levantamiento_manual</t>
  </si>
  <si>
    <t>Liberacion_de_energia</t>
  </si>
  <si>
    <t>Luz_excesiva</t>
  </si>
  <si>
    <t>Liquidos_toxicos</t>
  </si>
  <si>
    <t>Mala_organizacion</t>
  </si>
  <si>
    <t>Mala_postura</t>
  </si>
  <si>
    <t>Material_combustible</t>
  </si>
  <si>
    <t>Materiales_suspendidos</t>
  </si>
  <si>
    <t>Movimientos_repetitivos</t>
  </si>
  <si>
    <t>Objetos_que_caen</t>
  </si>
  <si>
    <t>Partes_moviles</t>
  </si>
  <si>
    <t>Particulas_expulsadas</t>
  </si>
  <si>
    <t>Patogenos</t>
  </si>
  <si>
    <t>Poca_iluminacion</t>
  </si>
  <si>
    <t>Polvos_toxicos</t>
  </si>
  <si>
    <t>Postura_prolongada</t>
  </si>
  <si>
    <t>Presion_laboral</t>
  </si>
  <si>
    <t>Prueba_de_producto</t>
  </si>
  <si>
    <t>Radiacion</t>
  </si>
  <si>
    <t>Radiacion_ionizante</t>
  </si>
  <si>
    <t>Radiacion_no_ionizante</t>
  </si>
  <si>
    <t>Respiratorios_irritantes</t>
  </si>
  <si>
    <t>Ruido_herramientas</t>
  </si>
  <si>
    <t>Servicios_desconocidos</t>
  </si>
  <si>
    <t>Sistema_de_presion</t>
  </si>
  <si>
    <t>Superficie_caliente_fria</t>
  </si>
  <si>
    <t>Torsion</t>
  </si>
  <si>
    <t>Trabajo_en_altura</t>
  </si>
  <si>
    <t>Trabajo_en_solitario</t>
  </si>
  <si>
    <t>Trabajo_estatico</t>
  </si>
  <si>
    <t>Trabajo_movil</t>
  </si>
  <si>
    <t>Vehiculos_trafico</t>
  </si>
  <si>
    <t>Vibracion</t>
  </si>
  <si>
    <t>Vibracion_herramientas</t>
  </si>
  <si>
    <t>Categoria</t>
  </si>
  <si>
    <t>Actividades_de_trabajo</t>
  </si>
  <si>
    <t>Ergonomia</t>
  </si>
  <si>
    <t>Electrico</t>
  </si>
  <si>
    <t>Lugar_de_trabajo</t>
  </si>
  <si>
    <t>Quimicos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</si>
</sst>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36" x14ac:knownFonts="1">
    <font>
      <sz val="10"/>
      <name val="Arial"/>
      <family val="2"/>
    </font>
    <font>
      <sz val="11"/>
      <color theme="1"/>
      <name val="Calibri"/>
      <family val="2"/>
      <scheme val="minor"/>
    </font>
    <font>
      <sz val="11"/>
      <color theme="1"/>
      <name val="Calibri"/>
      <family val="2"/>
      <scheme val="minor"/>
    </font>
    <font>
      <sz val="10"/>
      <name val="Arial"/>
      <family val="2"/>
    </font>
    <font>
      <b/>
      <u/>
      <sz val="10"/>
      <name val="Arial"/>
      <family val="2"/>
    </font>
    <font>
      <sz val="16"/>
      <name val="Arial"/>
      <family val="2"/>
    </font>
    <font>
      <sz val="11"/>
      <color theme="1"/>
      <name val="Calibri"/>
      <family val="2"/>
      <scheme val="minor"/>
    </font>
    <font>
      <b/>
      <sz val="11"/>
      <color theme="1"/>
      <name val="Calibri"/>
      <family val="2"/>
      <scheme val="minor"/>
    </font>
    <font>
      <sz val="8"/>
      <color theme="1"/>
      <name val="Arial"/>
      <family val="2"/>
    </font>
    <font>
      <b/>
      <sz val="10"/>
      <color theme="1"/>
      <name val="Arial"/>
      <family val="2"/>
    </font>
    <font>
      <b/>
      <sz val="9.5"/>
      <color rgb="FFFF0000"/>
      <name val="Arial"/>
      <family val="2"/>
    </font>
    <font>
      <sz val="11"/>
      <color rgb="FF444444"/>
      <name val="Arial"/>
      <family val="2"/>
    </font>
    <font>
      <sz val="12"/>
      <color theme="1"/>
      <name val="Arial Narrow"/>
      <family val="2"/>
    </font>
    <font>
      <b/>
      <sz val="12"/>
      <color theme="0"/>
      <name val="Arial"/>
      <family val="2"/>
    </font>
    <font>
      <sz val="10"/>
      <color theme="1"/>
      <name val="Arial"/>
      <family val="2"/>
    </font>
    <font>
      <b/>
      <sz val="10"/>
      <color theme="0"/>
      <name val="Arial"/>
      <family val="2"/>
    </font>
    <font>
      <sz val="10"/>
      <name val="Tahoma"/>
      <family val="2"/>
    </font>
    <font>
      <sz val="14"/>
      <name val="Arial"/>
      <family val="2"/>
    </font>
    <font>
      <sz val="16"/>
      <color theme="1"/>
      <name val="Arial"/>
      <family val="2"/>
    </font>
    <font>
      <sz val="20"/>
      <name val="Arial"/>
      <family val="2"/>
    </font>
    <font>
      <b/>
      <sz val="20"/>
      <color theme="0"/>
      <name val="Arial"/>
      <family val="2"/>
    </font>
    <font>
      <sz val="22"/>
      <name val="Arial"/>
      <family val="2"/>
    </font>
    <font>
      <b/>
      <sz val="22"/>
      <color theme="0"/>
      <name val="Arial"/>
      <family val="2"/>
    </font>
    <font>
      <sz val="26"/>
      <name val="Arial"/>
      <family val="2"/>
    </font>
    <font>
      <b/>
      <sz val="26"/>
      <color theme="0"/>
      <name val="Arial"/>
      <family val="2"/>
    </font>
    <font>
      <sz val="26"/>
      <color theme="1"/>
      <name val="Arial"/>
      <family val="2"/>
    </font>
    <font>
      <b/>
      <sz val="10"/>
      <name val="Arial"/>
      <family val="2"/>
    </font>
    <font>
      <b/>
      <sz val="11"/>
      <name val="Calibri"/>
      <family val="2"/>
    </font>
    <font>
      <sz val="11"/>
      <color rgb="FFFFFFFF"/>
      <name val="Calibri"/>
      <family val="2"/>
    </font>
    <font>
      <b/>
      <sz val="8"/>
      <name val="Arial"/>
      <family val="2"/>
    </font>
    <font>
      <sz val="8"/>
      <name val="Arial"/>
      <family val="2"/>
    </font>
    <font>
      <sz val="11"/>
      <name val="Arial"/>
      <family val="2"/>
    </font>
    <font>
      <b/>
      <sz val="16"/>
      <name val="Arial"/>
      <family val="2"/>
    </font>
    <font>
      <b/>
      <sz val="14"/>
      <name val="Arial"/>
      <family val="2"/>
    </font>
    <font>
      <sz val="11"/>
      <color theme="0"/>
      <name val="Calibri"/>
      <family val="2"/>
      <scheme val="minor"/>
    </font>
    <font>
      <sz val="1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rgb="FF92D050"/>
        <bgColor rgb="FF92D050"/>
      </patternFill>
    </fill>
    <fill>
      <patternFill patternType="solid">
        <fgColor rgb="FFFFF2CC"/>
        <bgColor rgb="FFFFF2CC"/>
      </patternFill>
    </fill>
    <fill>
      <patternFill patternType="solid">
        <fgColor rgb="FFFFC000"/>
        <bgColor rgb="FFFFC000"/>
      </patternFill>
    </fill>
    <fill>
      <patternFill patternType="solid">
        <fgColor rgb="FFC00000"/>
        <bgColor rgb="FFC00000"/>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249977111117893"/>
        <bgColor indexed="64"/>
      </patternFill>
    </fill>
  </fills>
  <borders count="50">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style="thick">
        <color theme="0"/>
      </right>
      <top/>
      <bottom/>
      <diagonal/>
    </border>
    <border>
      <left/>
      <right/>
      <top style="thin">
        <color theme="0"/>
      </top>
      <bottom style="thin">
        <color theme="0"/>
      </bottom>
      <diagonal/>
    </border>
    <border>
      <left/>
      <right/>
      <top style="thin">
        <color theme="0"/>
      </top>
      <bottom/>
      <diagonal/>
    </border>
    <border>
      <left/>
      <right/>
      <top style="thick">
        <color theme="0"/>
      </top>
      <bottom/>
      <diagonal/>
    </border>
    <border>
      <left/>
      <right/>
      <top/>
      <bottom style="thin">
        <color theme="0"/>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theme="0"/>
      </left>
      <right style="thick">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ck">
        <color theme="0"/>
      </right>
      <top/>
      <bottom/>
      <diagonal/>
    </border>
  </borders>
  <cellStyleXfs count="4">
    <xf numFmtId="0" fontId="0" fillId="0" borderId="0"/>
    <xf numFmtId="0" fontId="6" fillId="0" borderId="0"/>
    <xf numFmtId="9" fontId="3" fillId="0" borderId="0"/>
    <xf numFmtId="0" fontId="6" fillId="0" borderId="0"/>
  </cellStyleXfs>
  <cellXfs count="166">
    <xf numFmtId="0" fontId="0" fillId="0" borderId="0" xfId="0"/>
    <xf numFmtId="0" fontId="4" fillId="0" borderId="0" xfId="0" applyFont="1"/>
    <xf numFmtId="0" fontId="0" fillId="0" borderId="0" xfId="0" applyAlignment="1">
      <alignment horizontal="center"/>
    </xf>
    <xf numFmtId="0" fontId="7" fillId="0" borderId="4" xfId="0" applyFont="1" applyBorder="1"/>
    <xf numFmtId="0" fontId="8" fillId="0" borderId="4" xfId="0" applyFont="1" applyBorder="1" applyAlignment="1">
      <alignment vertical="center" wrapText="1"/>
    </xf>
    <xf numFmtId="0" fontId="7" fillId="0" borderId="4" xfId="0" applyFont="1" applyBorder="1" applyAlignment="1">
      <alignment horizontal="left" vertical="center"/>
    </xf>
    <xf numFmtId="0" fontId="8" fillId="2" borderId="4" xfId="0" applyFont="1" applyFill="1" applyBorder="1" applyAlignment="1">
      <alignment vertical="center" wrapText="1"/>
    </xf>
    <xf numFmtId="0" fontId="8" fillId="0" borderId="4" xfId="0" applyFont="1" applyBorder="1"/>
    <xf numFmtId="0" fontId="7" fillId="0" borderId="4" xfId="0" applyFont="1" applyBorder="1" applyAlignment="1">
      <alignment vertical="center"/>
    </xf>
    <xf numFmtId="0" fontId="8" fillId="0" borderId="1" xfId="0" applyFont="1" applyBorder="1" applyAlignment="1">
      <alignment vertical="center" wrapText="1"/>
    </xf>
    <xf numFmtId="0" fontId="8" fillId="0" borderId="0" xfId="0" applyFont="1" applyAlignment="1">
      <alignment vertical="center" wrapText="1"/>
    </xf>
    <xf numFmtId="0" fontId="8" fillId="2" borderId="1" xfId="0" applyFont="1" applyFill="1" applyBorder="1" applyAlignment="1">
      <alignment vertical="center" wrapText="1"/>
    </xf>
    <xf numFmtId="0" fontId="8" fillId="0" borderId="0" xfId="0" applyFont="1"/>
    <xf numFmtId="0" fontId="9" fillId="0" borderId="0" xfId="1" applyFont="1" applyAlignment="1">
      <alignment vertical="center" wrapText="1"/>
    </xf>
    <xf numFmtId="0" fontId="10" fillId="0" borderId="0" xfId="1" applyFont="1" applyAlignment="1">
      <alignment horizontal="left" vertical="top" wrapText="1"/>
    </xf>
    <xf numFmtId="9" fontId="0" fillId="0" borderId="0" xfId="0" applyNumberFormat="1" applyAlignment="1">
      <alignment horizontal="center"/>
    </xf>
    <xf numFmtId="9" fontId="0" fillId="0" borderId="0" xfId="2" applyFont="1" applyAlignment="1">
      <alignment horizontal="center"/>
    </xf>
    <xf numFmtId="0" fontId="11" fillId="0" borderId="0" xfId="0" applyFont="1" applyAlignment="1">
      <alignment horizontal="left" vertical="center" wrapText="1" indent="1"/>
    </xf>
    <xf numFmtId="0" fontId="12" fillId="0" borderId="0" xfId="1" applyFont="1"/>
    <xf numFmtId="0" fontId="16" fillId="0" borderId="0" xfId="0" applyFont="1"/>
    <xf numFmtId="0" fontId="0" fillId="0" borderId="0" xfId="0" applyAlignment="1">
      <alignment vertical="top"/>
    </xf>
    <xf numFmtId="0" fontId="0" fillId="0" borderId="4" xfId="0" applyBorder="1" applyAlignment="1">
      <alignment horizontal="center" vertical="center"/>
    </xf>
    <xf numFmtId="0" fontId="0" fillId="12" borderId="4" xfId="0" applyFill="1" applyBorder="1" applyAlignment="1">
      <alignment vertical="center"/>
    </xf>
    <xf numFmtId="0" fontId="0" fillId="12" borderId="5" xfId="0" applyFill="1" applyBorder="1" applyAlignment="1">
      <alignment vertical="center"/>
    </xf>
    <xf numFmtId="0" fontId="0" fillId="0" borderId="0" xfId="0" applyAlignment="1">
      <alignment wrapText="1"/>
    </xf>
    <xf numFmtId="0" fontId="17" fillId="0" borderId="0" xfId="0" applyFont="1"/>
    <xf numFmtId="0" fontId="23" fillId="0" borderId="0" xfId="0" applyFont="1"/>
    <xf numFmtId="0" fontId="25" fillId="6" borderId="4" xfId="0" applyFont="1" applyFill="1" applyBorder="1" applyAlignment="1">
      <alignment horizontal="center" vertical="center" wrapText="1"/>
    </xf>
    <xf numFmtId="0" fontId="23" fillId="9" borderId="4" xfId="0" applyFont="1" applyFill="1" applyBorder="1"/>
    <xf numFmtId="0" fontId="23" fillId="10" borderId="4" xfId="0" applyFont="1" applyFill="1" applyBorder="1"/>
    <xf numFmtId="0" fontId="23" fillId="7" borderId="4" xfId="0" applyFont="1" applyFill="1" applyBorder="1"/>
    <xf numFmtId="0" fontId="23" fillId="8" borderId="4" xfId="0" applyFont="1" applyFill="1" applyBorder="1"/>
    <xf numFmtId="0" fontId="20" fillId="4" borderId="9" xfId="0" applyFont="1" applyFill="1" applyBorder="1" applyAlignment="1">
      <alignment horizontal="center" vertical="center"/>
    </xf>
    <xf numFmtId="0" fontId="19" fillId="7" borderId="4" xfId="0" applyFont="1" applyFill="1" applyBorder="1" applyAlignment="1">
      <alignment horizontal="center" wrapText="1"/>
    </xf>
    <xf numFmtId="0" fontId="19" fillId="10" borderId="4" xfId="0" applyFont="1" applyFill="1" applyBorder="1" applyAlignment="1">
      <alignment horizontal="center" wrapText="1"/>
    </xf>
    <xf numFmtId="0" fontId="19" fillId="9" borderId="4" xfId="0" applyFont="1" applyFill="1" applyBorder="1" applyAlignment="1">
      <alignment horizontal="center" wrapText="1"/>
    </xf>
    <xf numFmtId="0" fontId="19" fillId="8" borderId="4" xfId="0" applyFont="1" applyFill="1" applyBorder="1" applyAlignment="1">
      <alignment horizontal="center" wrapText="1"/>
    </xf>
    <xf numFmtId="0" fontId="21" fillId="0" borderId="0" xfId="0" applyFont="1" applyAlignment="1">
      <alignment horizontal="center" vertical="center" wrapText="1"/>
    </xf>
    <xf numFmtId="0" fontId="18" fillId="5" borderId="13" xfId="0" applyFont="1" applyFill="1" applyBorder="1" applyAlignment="1">
      <alignment vertical="top"/>
    </xf>
    <xf numFmtId="0" fontId="5" fillId="0" borderId="0" xfId="0" applyFont="1" applyAlignment="1">
      <alignment vertical="top" wrapText="1"/>
    </xf>
    <xf numFmtId="0" fontId="18" fillId="5" borderId="15" xfId="0" applyFont="1" applyFill="1" applyBorder="1" applyAlignment="1">
      <alignment vertical="top" wrapText="1"/>
    </xf>
    <xf numFmtId="0" fontId="18" fillId="6" borderId="13" xfId="0" applyFont="1" applyFill="1" applyBorder="1" applyAlignment="1">
      <alignment vertical="top"/>
    </xf>
    <xf numFmtId="0" fontId="18" fillId="6" borderId="14" xfId="0" applyFont="1" applyFill="1" applyBorder="1" applyAlignment="1">
      <alignment vertical="top" wrapText="1"/>
    </xf>
    <xf numFmtId="0" fontId="18" fillId="5" borderId="14" xfId="0" applyFont="1" applyFill="1" applyBorder="1" applyAlignment="1">
      <alignment vertical="top" wrapText="1"/>
    </xf>
    <xf numFmtId="0" fontId="5" fillId="0" borderId="0" xfId="0" applyFont="1" applyAlignment="1">
      <alignment vertical="top"/>
    </xf>
    <xf numFmtId="0" fontId="18" fillId="5" borderId="16" xfId="0" applyFont="1" applyFill="1" applyBorder="1" applyAlignment="1">
      <alignment vertical="top"/>
    </xf>
    <xf numFmtId="0" fontId="18" fillId="5" borderId="0" xfId="0" applyFont="1" applyFill="1" applyAlignment="1">
      <alignment vertical="top" wrapText="1"/>
    </xf>
    <xf numFmtId="0" fontId="22" fillId="4"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0" xfId="0" applyAlignment="1">
      <alignment horizontal="center" vertical="center"/>
    </xf>
    <xf numFmtId="0" fontId="16" fillId="2" borderId="4" xfId="0" applyFont="1" applyFill="1" applyBorder="1" applyAlignment="1">
      <alignment horizontal="center" vertical="center"/>
    </xf>
    <xf numFmtId="0" fontId="15" fillId="11" borderId="0" xfId="0" applyFont="1" applyFill="1" applyAlignment="1">
      <alignment horizontal="center" vertical="top"/>
    </xf>
    <xf numFmtId="0" fontId="2" fillId="0" borderId="0" xfId="3" applyFont="1"/>
    <xf numFmtId="0" fontId="27" fillId="0" borderId="4" xfId="3" applyFont="1" applyBorder="1" applyAlignment="1">
      <alignment horizontal="center" vertical="center" wrapText="1"/>
    </xf>
    <xf numFmtId="0" fontId="16" fillId="0" borderId="4" xfId="0" applyFont="1" applyBorder="1" applyAlignment="1">
      <alignment vertical="center" wrapText="1"/>
    </xf>
    <xf numFmtId="0" fontId="0" fillId="0" borderId="4" xfId="0" applyBorder="1" applyAlignment="1">
      <alignment vertical="center" wrapText="1"/>
    </xf>
    <xf numFmtId="0" fontId="16" fillId="0" borderId="4" xfId="0" applyFont="1" applyBorder="1" applyAlignment="1">
      <alignment vertical="center"/>
    </xf>
    <xf numFmtId="0" fontId="0" fillId="0" borderId="4" xfId="0" applyBorder="1" applyAlignment="1">
      <alignment horizontal="center" vertical="center" wrapText="1"/>
    </xf>
    <xf numFmtId="0" fontId="7" fillId="0" borderId="0" xfId="3" applyFont="1"/>
    <xf numFmtId="9" fontId="16" fillId="0" borderId="4" xfId="2" applyFont="1" applyBorder="1" applyAlignment="1">
      <alignment horizontal="center" vertical="center"/>
    </xf>
    <xf numFmtId="164" fontId="16" fillId="2" borderId="4" xfId="0" applyNumberFormat="1" applyFont="1" applyFill="1" applyBorder="1" applyAlignment="1">
      <alignment horizontal="center" vertical="center"/>
    </xf>
    <xf numFmtId="0" fontId="13" fillId="11" borderId="12" xfId="0" applyFont="1" applyFill="1" applyBorder="1" applyAlignment="1">
      <alignment horizontal="center" vertical="center"/>
    </xf>
    <xf numFmtId="0" fontId="13" fillId="11" borderId="12" xfId="0" applyFont="1" applyFill="1" applyBorder="1" applyAlignment="1">
      <alignment horizontal="center" vertical="center" wrapText="1"/>
    </xf>
    <xf numFmtId="0" fontId="13" fillId="11" borderId="8" xfId="0" applyFont="1" applyFill="1" applyBorder="1" applyAlignment="1">
      <alignment horizontal="centerContinuous" vertical="center" wrapText="1"/>
    </xf>
    <xf numFmtId="0" fontId="13" fillId="11" borderId="9" xfId="0" applyFont="1" applyFill="1" applyBorder="1" applyAlignment="1">
      <alignment horizontal="centerContinuous" vertical="center" wrapText="1"/>
    </xf>
    <xf numFmtId="0" fontId="13" fillId="11" borderId="10" xfId="0" applyFont="1" applyFill="1" applyBorder="1" applyAlignment="1">
      <alignment horizontal="centerContinuous" vertical="center" wrapText="1"/>
    </xf>
    <xf numFmtId="0" fontId="13" fillId="11" borderId="22" xfId="0" applyFont="1" applyFill="1" applyBorder="1" applyAlignment="1">
      <alignment horizontal="centerContinuous" vertical="center" wrapText="1"/>
    </xf>
    <xf numFmtId="0" fontId="13" fillId="11" borderId="23" xfId="0" applyFont="1" applyFill="1" applyBorder="1" applyAlignment="1">
      <alignment horizontal="centerContinuous" vertical="center"/>
    </xf>
    <xf numFmtId="0" fontId="13" fillId="11" borderId="24" xfId="0" applyFont="1" applyFill="1" applyBorder="1" applyAlignment="1">
      <alignment horizontal="centerContinuous" vertical="center"/>
    </xf>
    <xf numFmtId="0" fontId="13" fillId="11" borderId="21" xfId="0" applyFont="1" applyFill="1" applyBorder="1" applyAlignment="1">
      <alignment horizontal="center" vertical="center"/>
    </xf>
    <xf numFmtId="0" fontId="26" fillId="0" borderId="7" xfId="0" applyFont="1" applyBorder="1" applyAlignment="1">
      <alignment horizontal="center" vertical="center"/>
    </xf>
    <xf numFmtId="0" fontId="27" fillId="0" borderId="4" xfId="0" applyFont="1" applyBorder="1" applyAlignment="1">
      <alignment horizontal="center" vertical="center"/>
    </xf>
    <xf numFmtId="0" fontId="0" fillId="13" borderId="4" xfId="0" applyFill="1" applyBorder="1" applyAlignment="1">
      <alignment horizontal="center" vertical="center" wrapText="1"/>
    </xf>
    <xf numFmtId="0" fontId="0" fillId="13" borderId="4" xfId="0" applyFill="1" applyBorder="1" applyAlignment="1">
      <alignment vertical="center" wrapText="1"/>
    </xf>
    <xf numFmtId="0" fontId="0" fillId="14" borderId="4" xfId="0" applyFill="1" applyBorder="1" applyAlignment="1">
      <alignment horizontal="center" vertical="center" wrapText="1"/>
    </xf>
    <xf numFmtId="0" fontId="0" fillId="14" borderId="4" xfId="0" applyFill="1" applyBorder="1" applyAlignment="1">
      <alignment vertical="center" wrapText="1"/>
    </xf>
    <xf numFmtId="0" fontId="0" fillId="15" borderId="4" xfId="0" applyFill="1" applyBorder="1" applyAlignment="1">
      <alignment horizontal="center" vertical="center" wrapText="1"/>
    </xf>
    <xf numFmtId="0" fontId="0" fillId="15" borderId="4" xfId="0" applyFill="1" applyBorder="1" applyAlignment="1">
      <alignment vertical="center" wrapText="1"/>
    </xf>
    <xf numFmtId="0" fontId="28" fillId="16" borderId="4" xfId="0" applyFont="1" applyFill="1" applyBorder="1" applyAlignment="1">
      <alignment horizontal="center" vertical="center" wrapText="1"/>
    </xf>
    <xf numFmtId="0" fontId="28" fillId="16" borderId="4" xfId="0" applyFont="1" applyFill="1" applyBorder="1" applyAlignment="1">
      <alignment vertical="center" wrapText="1"/>
    </xf>
    <xf numFmtId="0" fontId="30"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29" fillId="18" borderId="28" xfId="0" applyFont="1" applyFill="1" applyBorder="1" applyAlignment="1">
      <alignment horizontal="center" vertical="center"/>
    </xf>
    <xf numFmtId="0" fontId="29" fillId="18" borderId="29" xfId="0" applyFont="1" applyFill="1" applyBorder="1" applyAlignment="1">
      <alignment horizontal="center" vertical="center"/>
    </xf>
    <xf numFmtId="0" fontId="29" fillId="18" borderId="30" xfId="0" applyFont="1" applyFill="1" applyBorder="1" applyAlignment="1">
      <alignment vertical="center"/>
    </xf>
    <xf numFmtId="0" fontId="29" fillId="18" borderId="25" xfId="0" applyFont="1" applyFill="1" applyBorder="1" applyAlignment="1">
      <alignment horizontal="center" vertical="center"/>
    </xf>
    <xf numFmtId="0" fontId="29" fillId="18" borderId="27" xfId="0" applyFont="1" applyFill="1" applyBorder="1" applyAlignment="1">
      <alignment horizontal="center" vertical="center"/>
    </xf>
    <xf numFmtId="0" fontId="30" fillId="0" borderId="6" xfId="0" applyFont="1" applyBorder="1" applyAlignment="1">
      <alignment horizontal="center" vertical="center" wrapText="1"/>
    </xf>
    <xf numFmtId="0" fontId="30" fillId="0" borderId="17" xfId="0" applyFont="1" applyBorder="1" applyAlignment="1">
      <alignment horizontal="center" vertical="center" wrapText="1"/>
    </xf>
    <xf numFmtId="0" fontId="26" fillId="19" borderId="31" xfId="0" applyFont="1" applyFill="1" applyBorder="1" applyAlignment="1">
      <alignment horizontal="center" vertical="center"/>
    </xf>
    <xf numFmtId="0" fontId="26" fillId="19" borderId="32" xfId="0" applyFont="1" applyFill="1" applyBorder="1" applyAlignment="1">
      <alignment horizontal="center" vertical="center"/>
    </xf>
    <xf numFmtId="0" fontId="26" fillId="19" borderId="33" xfId="0" applyFont="1" applyFill="1" applyBorder="1" applyAlignment="1">
      <alignment horizontal="center" vertical="center"/>
    </xf>
    <xf numFmtId="0" fontId="30" fillId="0" borderId="34" xfId="0" applyFont="1" applyBorder="1" applyAlignment="1">
      <alignment vertical="center" wrapText="1"/>
    </xf>
    <xf numFmtId="0" fontId="30" fillId="0" borderId="35" xfId="0" applyFont="1" applyBorder="1" applyAlignment="1">
      <alignment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vertical="center" wrapText="1"/>
    </xf>
    <xf numFmtId="0" fontId="31" fillId="0" borderId="39"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41"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26" fillId="0" borderId="32" xfId="0" applyFont="1" applyBorder="1" applyAlignment="1">
      <alignment vertical="center" wrapText="1"/>
    </xf>
    <xf numFmtId="0" fontId="26" fillId="0" borderId="33" xfId="0" applyFont="1" applyBorder="1" applyAlignment="1">
      <alignment vertical="center" wrapText="1"/>
    </xf>
    <xf numFmtId="0" fontId="26" fillId="17" borderId="44" xfId="0" applyFont="1" applyFill="1" applyBorder="1" applyAlignment="1">
      <alignment horizontal="center" vertical="center"/>
    </xf>
    <xf numFmtId="0" fontId="0" fillId="0" borderId="4" xfId="0" applyBorder="1" applyAlignment="1">
      <alignment horizontal="left" vertical="center" wrapText="1"/>
    </xf>
    <xf numFmtId="0" fontId="34" fillId="0" borderId="0" xfId="3" applyFont="1"/>
    <xf numFmtId="0" fontId="35" fillId="0" borderId="0" xfId="3" applyFont="1"/>
    <xf numFmtId="0" fontId="3" fillId="0" borderId="0" xfId="0" applyFont="1"/>
    <xf numFmtId="0" fontId="0" fillId="0" borderId="3" xfId="0" applyBorder="1" applyAlignment="1">
      <alignment horizontal="left" vertical="center" wrapText="1"/>
    </xf>
    <xf numFmtId="0" fontId="0" fillId="0" borderId="18" xfId="0" applyBorder="1" applyAlignment="1">
      <alignment horizontal="left" vertical="center" wrapText="1"/>
    </xf>
    <xf numFmtId="0" fontId="26" fillId="7" borderId="45" xfId="0" applyFont="1" applyFill="1" applyBorder="1" applyAlignment="1">
      <alignment horizontal="center" vertical="center"/>
    </xf>
    <xf numFmtId="0" fontId="1" fillId="0" borderId="0" xfId="3" applyFont="1"/>
    <xf numFmtId="0" fontId="26" fillId="20" borderId="43" xfId="0" applyFont="1" applyFill="1" applyBorder="1" applyAlignment="1">
      <alignment horizontal="center" vertical="center"/>
    </xf>
    <xf numFmtId="0" fontId="26" fillId="10" borderId="44" xfId="0" applyFont="1" applyFill="1" applyBorder="1" applyAlignment="1">
      <alignment horizontal="center" vertical="center"/>
    </xf>
    <xf numFmtId="0" fontId="26" fillId="21" borderId="44" xfId="0" applyFont="1" applyFill="1" applyBorder="1" applyAlignment="1">
      <alignment horizontal="center" vertical="center"/>
    </xf>
    <xf numFmtId="0" fontId="15" fillId="11" borderId="4" xfId="0" applyFont="1" applyFill="1" applyBorder="1" applyAlignment="1">
      <alignment horizontal="center" vertical="center"/>
    </xf>
    <xf numFmtId="0" fontId="0" fillId="0" borderId="3" xfId="0" applyBorder="1"/>
    <xf numFmtId="0" fontId="0" fillId="0" borderId="17" xfId="0" applyBorder="1"/>
    <xf numFmtId="0" fontId="13" fillId="11" borderId="11" xfId="0" applyFont="1" applyFill="1" applyBorder="1" applyAlignment="1">
      <alignment horizontal="center" vertical="center" wrapText="1"/>
    </xf>
    <xf numFmtId="0" fontId="0" fillId="0" borderId="12" xfId="0" applyBorder="1"/>
    <xf numFmtId="165" fontId="0" fillId="0" borderId="4" xfId="0" applyNumberFormat="1" applyBorder="1" applyAlignment="1">
      <alignment horizontal="center" vertical="top"/>
    </xf>
    <xf numFmtId="165" fontId="0" fillId="0" borderId="3" xfId="0" applyNumberFormat="1" applyBorder="1"/>
    <xf numFmtId="165" fontId="0" fillId="0" borderId="17" xfId="0" applyNumberFormat="1" applyBorder="1"/>
    <xf numFmtId="0" fontId="15" fillId="11" borderId="19" xfId="0" applyFont="1" applyFill="1" applyBorder="1" applyAlignment="1">
      <alignment horizontal="center" vertical="center"/>
    </xf>
    <xf numFmtId="0" fontId="0" fillId="0" borderId="0" xfId="0" applyAlignment="1">
      <alignment vertical="top"/>
    </xf>
    <xf numFmtId="0" fontId="0" fillId="0" borderId="19" xfId="0" applyBorder="1"/>
    <xf numFmtId="0" fontId="0" fillId="0" borderId="47" xfId="0" applyBorder="1" applyAlignment="1">
      <alignment horizontal="center" vertical="center"/>
    </xf>
    <xf numFmtId="0" fontId="0" fillId="0" borderId="18" xfId="0" applyBorder="1"/>
    <xf numFmtId="0" fontId="0" fillId="0" borderId="20" xfId="0" applyBorder="1"/>
    <xf numFmtId="0" fontId="13" fillId="11" borderId="12" xfId="0" applyFont="1" applyFill="1" applyBorder="1" applyAlignment="1">
      <alignment horizontal="center" vertical="center"/>
    </xf>
    <xf numFmtId="0" fontId="15" fillId="11" borderId="0" xfId="0" applyFont="1" applyFill="1" applyAlignment="1">
      <alignment horizontal="center" vertical="top"/>
    </xf>
    <xf numFmtId="0" fontId="13" fillId="11" borderId="12" xfId="0" applyFont="1" applyFill="1" applyBorder="1" applyAlignment="1">
      <alignment horizontal="center" vertical="center" wrapText="1"/>
    </xf>
    <xf numFmtId="0" fontId="15" fillId="11" borderId="5" xfId="0" applyFont="1" applyFill="1" applyBorder="1" applyAlignment="1">
      <alignment horizontal="center" vertical="center"/>
    </xf>
    <xf numFmtId="0" fontId="0" fillId="0" borderId="7" xfId="0" applyBorder="1"/>
    <xf numFmtId="0" fontId="0" fillId="0" borderId="6" xfId="0" applyBorder="1"/>
    <xf numFmtId="0" fontId="13" fillId="11" borderId="46" xfId="0" applyFont="1" applyFill="1" applyBorder="1" applyAlignment="1">
      <alignment horizontal="center" vertical="center" wrapText="1"/>
    </xf>
    <xf numFmtId="0" fontId="0" fillId="12" borderId="2" xfId="0" applyFill="1" applyBorder="1" applyAlignment="1">
      <alignment horizontal="center" vertical="center"/>
    </xf>
    <xf numFmtId="0" fontId="13" fillId="11" borderId="10" xfId="0" applyFont="1" applyFill="1" applyBorder="1" applyAlignment="1">
      <alignment horizontal="center" vertical="center" wrapText="1"/>
    </xf>
    <xf numFmtId="0" fontId="0" fillId="0" borderId="49" xfId="0" applyBorder="1"/>
    <xf numFmtId="0" fontId="0" fillId="12" borderId="5" xfId="0" applyFill="1" applyBorder="1" applyAlignment="1">
      <alignment horizontal="left" vertical="center"/>
    </xf>
    <xf numFmtId="0" fontId="15" fillId="11" borderId="0" xfId="0" applyFont="1" applyFill="1" applyAlignment="1">
      <alignment horizontal="center" vertical="center" wrapText="1"/>
    </xf>
    <xf numFmtId="0" fontId="0" fillId="0" borderId="2" xfId="0" applyBorder="1" applyAlignment="1">
      <alignment horizontal="center" vertical="center"/>
    </xf>
    <xf numFmtId="0" fontId="0" fillId="0" borderId="19" xfId="0" applyBorder="1" applyAlignment="1">
      <alignment horizontal="center" vertical="top"/>
    </xf>
    <xf numFmtId="165" fontId="0" fillId="0" borderId="4" xfId="0" applyNumberFormat="1" applyBorder="1" applyAlignment="1">
      <alignment horizontal="center" vertical="center"/>
    </xf>
    <xf numFmtId="0" fontId="0" fillId="12" borderId="7" xfId="0" applyFill="1" applyBorder="1" applyAlignment="1">
      <alignment horizontal="center" vertical="center"/>
    </xf>
    <xf numFmtId="0" fontId="0" fillId="0" borderId="4" xfId="0" applyBorder="1" applyAlignment="1">
      <alignment horizontal="center" vertical="center"/>
    </xf>
    <xf numFmtId="0" fontId="0" fillId="12" borderId="4" xfId="0" applyFill="1" applyBorder="1" applyAlignment="1">
      <alignment horizontal="left" vertical="center"/>
    </xf>
    <xf numFmtId="0" fontId="26" fillId="0" borderId="18" xfId="0" applyFont="1" applyBorder="1" applyAlignment="1">
      <alignment horizontal="center" vertical="center" wrapText="1"/>
    </xf>
    <xf numFmtId="0" fontId="33" fillId="3" borderId="25" xfId="0" applyFont="1" applyFill="1" applyBorder="1" applyAlignment="1">
      <alignment horizontal="center" vertical="center"/>
    </xf>
    <xf numFmtId="0" fontId="0" fillId="0" borderId="26" xfId="0" applyBorder="1"/>
    <xf numFmtId="0" fontId="32" fillId="3" borderId="25" xfId="0" applyFont="1" applyFill="1" applyBorder="1" applyAlignment="1">
      <alignment horizontal="center" vertical="center"/>
    </xf>
    <xf numFmtId="0" fontId="0" fillId="0" borderId="42" xfId="0" applyBorder="1"/>
    <xf numFmtId="0" fontId="20" fillId="4" borderId="0" xfId="0" applyFont="1" applyFill="1" applyAlignment="1">
      <alignment horizontal="center" vertical="center"/>
    </xf>
    <xf numFmtId="0" fontId="0" fillId="0" borderId="0" xfId="0"/>
    <xf numFmtId="0" fontId="19" fillId="0" borderId="4" xfId="0" applyFont="1" applyBorder="1" applyAlignment="1">
      <alignment horizontal="left" wrapText="1"/>
    </xf>
    <xf numFmtId="0" fontId="24" fillId="4" borderId="4" xfId="0" applyFont="1" applyFill="1" applyBorder="1" applyAlignment="1">
      <alignment horizontal="center" vertical="center"/>
    </xf>
    <xf numFmtId="0" fontId="24" fillId="4" borderId="4" xfId="0" applyFont="1" applyFill="1" applyBorder="1" applyAlignment="1">
      <alignment horizontal="center" vertical="center" textRotation="90"/>
    </xf>
    <xf numFmtId="0" fontId="0" fillId="0" borderId="48" xfId="0" applyBorder="1"/>
    <xf numFmtId="0" fontId="0" fillId="0" borderId="5" xfId="0" applyBorder="1"/>
    <xf numFmtId="0" fontId="9" fillId="3" borderId="7" xfId="0" applyFont="1" applyFill="1" applyBorder="1" applyAlignment="1">
      <alignment horizontal="center" vertical="center"/>
    </xf>
    <xf numFmtId="0" fontId="7" fillId="0" borderId="4" xfId="0" applyFont="1" applyBorder="1" applyAlignment="1">
      <alignment horizontal="left" vertical="center"/>
    </xf>
    <xf numFmtId="0" fontId="8" fillId="0" borderId="4" xfId="0" applyFont="1" applyBorder="1" applyAlignment="1">
      <alignment horizontal="left" vertical="center" wrapText="1"/>
    </xf>
    <xf numFmtId="0" fontId="14" fillId="0" borderId="0" xfId="0" applyFont="1" applyAlignment="1">
      <alignment horizontal="center" wrapText="1"/>
    </xf>
  </cellXfs>
  <cellStyles count="4">
    <cellStyle name="Normal" xfId="0" builtinId="0"/>
    <cellStyle name="Normal 2" xfId="1" xr:uid="{00000000-0005-0000-0000-000001000000}"/>
    <cellStyle name="Normal 3" xfId="3" xr:uid="{00000000-0005-0000-0000-000003000000}"/>
    <cellStyle name="Percent" xfId="2" builtinId="5"/>
  </cellStyles>
  <dxfs count="20">
    <dxf>
      <font>
        <strike val="0"/>
        <outline val="0"/>
        <shadow val="0"/>
        <vertAlign val="baseline"/>
        <sz val="14"/>
        <name val="Arial"/>
        <family val="2"/>
      </font>
      <alignment horizontal="general" vertical="top" wrapText="1"/>
    </dxf>
    <dxf>
      <font>
        <strike val="0"/>
        <outline val="0"/>
        <shadow val="0"/>
        <vertAlign val="baseline"/>
        <sz val="14"/>
        <name val="Arial"/>
        <family val="2"/>
      </font>
      <alignment horizontal="general" vertical="top" wrapText="1"/>
    </dxf>
    <dxf>
      <border>
        <bottom style="thin">
          <color indexed="64"/>
        </bottom>
      </border>
    </dxf>
    <dxf>
      <font>
        <strike val="0"/>
        <outline val="0"/>
        <shadow val="0"/>
        <vertAlign val="baseline"/>
        <sz val="22"/>
        <name val="Arial"/>
        <family val="2"/>
      </font>
      <alignment horizontal="center" vertical="center" wrapText="1"/>
      <border>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b/>
        <strike val="0"/>
        <condense val="0"/>
        <extend val="0"/>
        <outline val="0"/>
        <shadow val="0"/>
        <vertAlign val="baseline"/>
        <sz val="10"/>
        <color auto="1"/>
        <name val="Arial"/>
        <family val="2"/>
      </font>
      <alignment horizontal="center" vertical="center"/>
    </dxf>
    <dxf>
      <alignment horizontal="center" vertical="center" textRotation="0" wrapText="0" indent="0" justifyLastLine="0" shrinkToFit="0" readingOrder="0"/>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ill>
        <patternFill>
          <bgColor theme="0" tint="-0.499984740745262"/>
        </patternFill>
      </fill>
    </dxf>
  </dxfs>
  <tableStyles count="0" defaultTableStyle="TableStyleMedium9" defaultPivotStyle="PivotStyleLight16"/>
  <colors>
    <mruColors>
      <color rgb="FFF4FA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6</xdr:row>
      <xdr:rowOff>171450</xdr:rowOff>
    </xdr:from>
    <xdr:to>
      <xdr:col>7</xdr:col>
      <xdr:colOff>6692900</xdr:colOff>
      <xdr:row>12</xdr:row>
      <xdr:rowOff>145107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29350" y="6429375"/>
          <a:ext cx="9067800" cy="5228282"/>
        </a:xfrm>
        <a:prstGeom prst="rect">
          <a:avLst/>
        </a:prstGeom>
        <a:ln>
          <a:prstDash val="solid"/>
        </a:ln>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9E3D2-78BB-4383-937E-1693DF7D0F6F}" name="Table4" displayName="Table4" ref="B2:G43" totalsRowShown="0" headerRowDxfId="10">
  <autoFilter ref="B2:G43" xr:uid="{7E79E3D2-78BB-4383-937E-1693DF7D0F6F}"/>
  <tableColumns count="6">
    <tableColumn id="1" xr3:uid="{0145E517-46C4-42E4-BF24-372761AACB5B}" name="PJ-EHSIP"/>
    <tableColumn id="2" xr3:uid="{D0A0289F-B9EA-4236-A160-DE814DC73CFA}" name="PT EHSIP"/>
    <tableColumn id="3" xr3:uid="{D4AB1525-FB24-4D84-B254-D91AC6049E62}" name="Descripción de acciones correspondientes"/>
    <tableColumn id="4" xr3:uid="{5128B35C-CF22-4617-9C6C-33FDE24D166A}" name="Responsable"/>
    <tableColumn id="5" xr3:uid="{5F576F2D-05CA-4386-9D31-24620324A4FE}" name="Correo"/>
    <tableColumn id="6" xr3:uid="{104F33CF-7044-47CC-B710-6902A8ABB21A}" name="Fecha de vencimien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B33" totalsRowShown="0" headerRowDxfId="9" dataDxfId="7" headerRowBorderDxfId="8" tableBorderDxfId="6" totalsRowBorderDxfId="5">
  <autoFilter ref="B2:B33" xr:uid="{00000000-0009-0000-0100-000001000000}"/>
  <tableColumns count="1">
    <tableColumn id="1" xr3:uid="{00000000-0010-0000-0000-000001000000}" name="Guía de EPP (No definitiva)"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C1:C50" totalsRowShown="0" headerRowDxfId="3" dataDxfId="1" headerRowBorderDxfId="2">
  <autoFilter ref="C1:C50" xr:uid="{00000000-0009-0000-0100-000002000000}"/>
  <tableColumns count="1">
    <tableColumn id="1" xr3:uid="{00000000-0010-0000-0100-000001000000}" name="Guía de EPP (No definitiv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3"/>
  <sheetViews>
    <sheetView tabSelected="1" view="pageBreakPreview" zoomScale="70" zoomScaleNormal="70" zoomScaleSheetLayoutView="70" zoomScalePageLayoutView="55" workbookViewId="0">
      <selection activeCell="O29" sqref="O29"/>
    </sheetView>
  </sheetViews>
  <sheetFormatPr defaultColWidth="9.140625" defaultRowHeight="12.75" x14ac:dyDescent="0.2"/>
  <cols>
    <col min="1" max="1" width="12" bestFit="1" customWidth="1"/>
    <col min="2" max="2" width="27" customWidth="1"/>
    <col min="3" max="6" width="17" customWidth="1"/>
    <col min="7" max="7" width="13.140625" customWidth="1"/>
    <col min="8" max="10" width="7.85546875" customWidth="1"/>
    <col min="11" max="11" width="38.28515625" customWidth="1"/>
    <col min="12" max="12" width="38.85546875" customWidth="1"/>
    <col min="13" max="13" width="36.5703125" customWidth="1"/>
    <col min="14" max="14" width="13.5703125" customWidth="1"/>
    <col min="15" max="15" width="11.7109375" customWidth="1"/>
    <col min="16" max="16" width="8" customWidth="1"/>
    <col min="17" max="17" width="14.7109375" customWidth="1"/>
    <col min="18" max="19" width="11.42578125" customWidth="1"/>
  </cols>
  <sheetData>
    <row r="1" spans="1:19" s="20" customFormat="1" ht="18" customHeight="1" x14ac:dyDescent="0.2">
      <c r="A1" s="126" t="s">
        <v>0</v>
      </c>
      <c r="B1" s="127"/>
      <c r="C1" s="127"/>
      <c r="D1" s="128"/>
      <c r="E1" s="118" t="s">
        <v>1</v>
      </c>
      <c r="F1" s="119"/>
      <c r="G1" s="120"/>
      <c r="H1" s="135" t="s">
        <v>2</v>
      </c>
      <c r="I1" s="136"/>
      <c r="J1" s="136"/>
      <c r="K1" s="136"/>
      <c r="L1" s="136"/>
      <c r="M1" s="136"/>
      <c r="N1" s="136"/>
      <c r="O1" s="136"/>
      <c r="P1" s="136"/>
      <c r="Q1" s="136"/>
      <c r="R1" s="136"/>
      <c r="S1" s="137"/>
    </row>
    <row r="2" spans="1:19" s="20" customFormat="1" ht="18" customHeight="1" x14ac:dyDescent="0.2">
      <c r="A2" s="145" t="inlineStr">
        <is>
          <t xml:space="preserve">Estaciones GECKO de Atornillado Automático (VSS1H-6050-001 a 006, MS-550-001, MS-550-002)</t>
        </is>
      </c>
      <c r="B2" s="127"/>
      <c r="C2" s="127"/>
      <c r="D2" s="128"/>
      <c r="E2" s="129"/>
      <c r="F2" s="130"/>
      <c r="G2" s="131"/>
      <c r="H2" s="139" t="s">
        <v>3</v>
      </c>
      <c r="I2" s="119"/>
      <c r="J2" s="119"/>
      <c r="K2" s="119"/>
      <c r="L2" s="22" t="s">
        <v>4</v>
      </c>
      <c r="M2" s="22" t="s">
        <v>5</v>
      </c>
      <c r="N2" s="149" t="s">
        <v>5</v>
      </c>
      <c r="O2" s="120"/>
      <c r="P2" s="149" t="s">
        <v>5</v>
      </c>
      <c r="Q2" s="119"/>
      <c r="R2" s="119"/>
      <c r="S2" s="120"/>
    </row>
    <row r="3" spans="1:19" s="20" customFormat="1" ht="18" customHeight="1" x14ac:dyDescent="0.2">
      <c r="A3" s="133" t="s">
        <v>6</v>
      </c>
      <c r="B3" s="127"/>
      <c r="C3" s="127"/>
      <c r="D3" s="52" t="inlineStr">
        <is>
          <t xml:space="preserve">29/09/2026</t>
        </is>
      </c>
      <c r="E3" s="143" t="s">
        <v>7</v>
      </c>
      <c r="F3" s="127"/>
      <c r="G3" s="127"/>
      <c r="H3" s="150"/>
      <c r="I3" s="130"/>
      <c r="J3" s="130"/>
      <c r="K3" s="130"/>
      <c r="L3" s="21"/>
      <c r="M3" s="50"/>
      <c r="N3" s="144"/>
      <c r="O3" s="119"/>
      <c r="P3" s="148"/>
      <c r="Q3" s="119"/>
      <c r="R3" s="119"/>
      <c r="S3" s="120"/>
    </row>
    <row r="4" spans="1:19" s="20" customFormat="1" ht="18" customHeight="1" x14ac:dyDescent="0.2">
      <c r="A4" s="127"/>
      <c r="B4" s="127"/>
      <c r="C4" s="127"/>
      <c r="D4" s="52"/>
      <c r="E4" s="127"/>
      <c r="F4" s="127"/>
      <c r="G4" s="127"/>
      <c r="H4" s="147" t="s">
        <v>8</v>
      </c>
      <c r="I4" s="136"/>
      <c r="J4" s="136"/>
      <c r="K4" s="136"/>
      <c r="L4" s="23" t="s">
        <v>9</v>
      </c>
      <c r="M4" s="22" t="s">
        <v>5</v>
      </c>
      <c r="N4" s="142" t="s">
        <v>5</v>
      </c>
      <c r="O4" s="137"/>
      <c r="P4" s="142" t="s">
        <v>5</v>
      </c>
      <c r="Q4" s="136"/>
      <c r="R4" s="136"/>
      <c r="S4" s="137"/>
    </row>
    <row r="5" spans="1:19" s="20" customFormat="1" ht="18" customHeight="1" thickBot="1" x14ac:dyDescent="0.25">
      <c r="A5" s="123">
        <f ca="1">TODAY()</f>
        <v>46069</v>
      </c>
      <c r="B5" s="124"/>
      <c r="C5" s="124"/>
      <c r="D5" s="125"/>
      <c r="E5" s="146">
        <f ca="1">A5+365</f>
        <v>46434</v>
      </c>
      <c r="F5" s="124"/>
      <c r="G5" s="125"/>
      <c r="H5" s="144"/>
      <c r="I5" s="119"/>
      <c r="J5" s="119"/>
      <c r="K5" s="119"/>
      <c r="L5" s="50"/>
      <c r="M5" s="21"/>
      <c r="N5" s="144"/>
      <c r="O5" s="119"/>
      <c r="P5" s="148"/>
      <c r="Q5" s="119"/>
      <c r="R5" s="119"/>
      <c r="S5" s="120"/>
    </row>
    <row r="6" spans="1:19" ht="53.1" customHeight="1" thickTop="1" thickBot="1" x14ac:dyDescent="0.25">
      <c r="A6" s="132" t="s">
        <v>10</v>
      </c>
      <c r="B6" s="121" t="s">
        <v>11</v>
      </c>
      <c r="C6" s="134" t="s">
        <v>12</v>
      </c>
      <c r="D6" s="138" t="s">
        <v>13</v>
      </c>
      <c r="E6" s="134" t="s">
        <v>14</v>
      </c>
      <c r="F6" s="134" t="s">
        <v>15</v>
      </c>
      <c r="G6" s="134" t="s">
        <v>16</v>
      </c>
      <c r="H6" s="64" t="s">
        <v>17</v>
      </c>
      <c r="I6" s="65"/>
      <c r="J6" s="66"/>
      <c r="K6" s="121" t="s">
        <v>18</v>
      </c>
      <c r="L6" s="121" t="s">
        <v>19</v>
      </c>
      <c r="M6" s="121" t="s">
        <v>20</v>
      </c>
      <c r="N6" s="121" t="s">
        <v>21</v>
      </c>
      <c r="O6" s="67" t="s">
        <v>22</v>
      </c>
      <c r="P6" s="68"/>
      <c r="Q6" s="69"/>
      <c r="R6" s="140" t="s">
        <v>23</v>
      </c>
      <c r="S6" s="121" t="s">
        <v>24</v>
      </c>
    </row>
    <row r="7" spans="1:19" ht="39" customHeight="1" thickTop="1" x14ac:dyDescent="0.2">
      <c r="A7" s="122"/>
      <c r="B7" s="122"/>
      <c r="C7" s="122"/>
      <c r="D7" s="122"/>
      <c r="E7" s="122"/>
      <c r="F7" s="122"/>
      <c r="G7" s="122"/>
      <c r="H7" s="70" t="s">
        <v>25</v>
      </c>
      <c r="I7" s="70" t="s">
        <v>26</v>
      </c>
      <c r="J7" s="70" t="s">
        <v>27</v>
      </c>
      <c r="K7" s="122"/>
      <c r="L7" s="122"/>
      <c r="M7" s="122"/>
      <c r="N7" s="122"/>
      <c r="O7" s="63" t="s">
        <v>28</v>
      </c>
      <c r="P7" s="62" t="s">
        <v>29</v>
      </c>
      <c r="Q7" s="62" t="s">
        <v>30</v>
      </c>
      <c r="R7" s="141"/>
      <c r="S7" s="122"/>
    </row>
    <row r="8" spans="1:19" s="19" customFormat="1" x14ac:dyDescent="0.2">
      <c r="A8" s="55" t="inlineStr">
        <is>
          <t xml:space="preserve">Rutinario</t>
        </is>
      </c>
      <c r="B8" s="55" t="inlineStr">
        <is>
          <t xml:space="preserve">Operación normal - carga de pieza con robot gantry en posición de reposo</t>
        </is>
      </c>
      <c r="C8" s="56" t="inlineStr">
        <is>
          <t xml:space="preserve">El operador coloca la pieza manualmente en la fixtura, la clampea con los 2 clamps y sale del área antes de dar avance</t>
        </is>
      </c>
      <c r="D8" s="56" t="inlineStr">
        <is>
          <t xml:space="preserve">Mecanico</t>
        </is>
      </c>
      <c r="E8" s="49" t="inlineStr">
        <is>
          <t xml:space="preserve">Partes móviles</t>
        </is>
      </c>
      <c r="F8" s="49" t="inlineStr">
        <is>
          <t xml:space="preserve">Atrapamiento</t>
        </is>
      </c>
      <c r="G8" s="56" t="inlineStr">
        <is>
          <t xml:space="preserve">Control</t>
        </is>
      </c>
      <c r="H8" s="57" t="inlineStr">
        <is>
          <t xml:space="preserve">3</t>
        </is>
      </c>
      <c r="I8" s="57" t="inlineStr">
        <is>
          <t xml:space="preserve">2</t>
        </is>
      </c>
      <c r="J8" s="51">
        <f t="shared" ref="J8" si="0">H8*I8</f>
        <v>0</v>
      </c>
      <c r="K8" s="107" t="inlineStr">
        <is>
          <t xml:space="preserve">sensores</t>
        </is>
      </c>
      <c r="L8" s="58" t="inlineStr">
        <is>
          <t xml:space="preserve">No se requiere EPP adicional; el control es por cortinas de seguridad en el área central.</t>
        </is>
      </c>
      <c r="M8" s="58" t="inlineStr">
        <is>
          <t xml:space="preserve">SOP Operación Estaciones GECKO</t>
        </is>
      </c>
      <c r="N8" s="57" t="inlineStr">
        <is>
          <t xml:space="preserve">EHS / Automation</t>
        </is>
      </c>
      <c r="O8" s="49" t="inlineStr">
        <is>
          <t xml:space="preserve">3</t>
        </is>
      </c>
      <c r="P8" s="61">
        <f t="shared" ref="P8" si="1">IF(O8=5,(J8*1),IF(O8=4,(J8*0.85),IF(O8=3,(J8*0.15),IF(O8=2,(J8*0.05),IF(O8=1,(J8*-0.0000000000000001),(J8*1))))))</f>
        <v>0</v>
      </c>
      <c r="Q8" s="60">
        <f t="shared" ref="Q8" si="2">IF(J8=0,0,(P8-J8)/J8)</f>
        <v>0</v>
      </c>
      <c r="R8" s="57"/>
      <c r="S8" s="57"/>
    </row>
    <row r="9" spans="1:19" s="19" customFormat="1" x14ac:dyDescent="0.2">
      <c r="A9" s="55" t="inlineStr">
        <is>
          <t xml:space="preserve">Rutinario</t>
        </is>
      </c>
      <c r="B9" s="55" t="inlineStr">
        <is>
          <t xml:space="preserve">Operación normal - movimiento del slider en X (y eje adicional en algunas estaciones)</t>
        </is>
      </c>
      <c r="C9" s="56" t="inlineStr">
        <is>
          <t xml:space="preserve">El slider mueve la fixtura con la pieza clampeada hacia la posición de atornillado durante el ciclo automático</t>
        </is>
      </c>
      <c r="D9" s="56" t="inlineStr">
        <is>
          <t xml:space="preserve">Mecanico</t>
        </is>
      </c>
      <c r="E9" s="49" t="inlineStr">
        <is>
          <t xml:space="preserve">Partes móviles</t>
        </is>
      </c>
      <c r="F9" s="49" t="inlineStr">
        <is>
          <t xml:space="preserve">Laceración</t>
        </is>
      </c>
      <c r="G9" s="56" t="inlineStr">
        <is>
          <t xml:space="preserve">Control</t>
        </is>
      </c>
      <c r="H9" s="57" t="inlineStr">
        <is>
          <t xml:space="preserve">3</t>
        </is>
      </c>
      <c r="I9" s="57" t="inlineStr">
        <is>
          <t xml:space="preserve">2</t>
        </is>
      </c>
      <c r="J9" s="51">
        <f t="shared" ref="J9:J27" si="3">H9*I9</f>
        <v>0</v>
      </c>
      <c r="K9" s="107" t="inlineStr">
        <is>
          <t xml:space="preserve">sensores</t>
        </is>
      </c>
      <c r="L9" s="58" t="inlineStr">
        <is>
          <t xml:space="preserve">No se requiere EPP adicional; el control es por cortinas de seguridad en el área central.</t>
        </is>
      </c>
      <c r="M9" s="58" t="inlineStr">
        <is>
          <t xml:space="preserve">SOP Operación Estaciones GECKO</t>
        </is>
      </c>
      <c r="N9" s="57" t="inlineStr">
        <is>
          <t xml:space="preserve">EHS / Automation</t>
        </is>
      </c>
      <c r="O9" s="49" t="inlineStr">
        <is>
          <t xml:space="preserve">3</t>
        </is>
      </c>
      <c r="P9" s="61">
        <f t="shared" ref="P9:P27" si="4">IF(O9=5,(J9*1),IF(O9=4,(J9*0.85),IF(O9=3,(J9*0.15),IF(O9=2,(J9*0.05),IF(O9=1,(J9*-0.0000000000000001),(J9*1))))))</f>
        <v>0</v>
      </c>
      <c r="Q9" s="60">
        <f t="shared" ref="Q9:Q27" si="5">IF(J9=0,0,(P9-J9)/J9)</f>
        <v>0</v>
      </c>
      <c r="R9" s="57"/>
      <c r="S9" s="57"/>
    </row>
    <row r="10" spans="1:19" s="19" customFormat="1" x14ac:dyDescent="0.2">
      <c r="A10" s="55" t="inlineStr">
        <is>
          <t xml:space="preserve">Rutinario</t>
        </is>
      </c>
      <c r="B10" s="55" t="inlineStr">
        <is>
          <t xml:space="preserve">Operación normal - movimiento/rotación del cabezal de torque</t>
        </is>
      </c>
      <c r="C10" s="56" t="inlineStr">
        <is>
          <t xml:space="preserve">El cabezal de torque se mueve a la posición del feeder, recoge el tornillo y se mueve a la posición de atornillado</t>
        </is>
      </c>
      <c r="D10" s="56" t="inlineStr">
        <is>
          <t xml:space="preserve">Mecanico</t>
        </is>
      </c>
      <c r="E10" s="49" t="inlineStr">
        <is>
          <t xml:space="preserve">Partes móviles</t>
        </is>
      </c>
      <c r="F10" s="49" t="inlineStr">
        <is>
          <t xml:space="preserve">Fractura</t>
        </is>
      </c>
      <c r="G10" s="56" t="inlineStr">
        <is>
          <t xml:space="preserve">Control</t>
        </is>
      </c>
      <c r="H10" s="57" t="inlineStr">
        <is>
          <t xml:space="preserve">3</t>
        </is>
      </c>
      <c r="I10" s="57" t="inlineStr">
        <is>
          <t xml:space="preserve">2</t>
        </is>
      </c>
      <c r="J10" s="51">
        <f t="shared" si="3"/>
        <v>0</v>
      </c>
      <c r="K10" s="107" t="inlineStr">
        <is>
          <t xml:space="preserve">sensores</t>
        </is>
      </c>
      <c r="L10" s="58" t="inlineStr">
        <is>
          <t xml:space="preserve">No se requiere EPP adicional; el control es por cortinas de seguridad en el área central (mismo set que protege gantry y slider).</t>
        </is>
      </c>
      <c r="M10" s="58" t="inlineStr">
        <is>
          <t xml:space="preserve">SOP Operación Estaciones GECKO</t>
        </is>
      </c>
      <c r="N10" s="57" t="inlineStr">
        <is>
          <t xml:space="preserve">EHS / Automation</t>
        </is>
      </c>
      <c r="O10" s="49" t="inlineStr">
        <is>
          <t xml:space="preserve">3</t>
        </is>
      </c>
      <c r="P10" s="61">
        <f t="shared" si="4"/>
        <v>0</v>
      </c>
      <c r="Q10" s="60">
        <f t="shared" si="5"/>
        <v>0</v>
      </c>
      <c r="R10" s="57"/>
      <c r="S10" s="57"/>
    </row>
    <row r="11" spans="1:19" s="19" customFormat="1" x14ac:dyDescent="0.2">
      <c r="A11" s="55" t="inlineStr">
        <is>
          <t xml:space="preserve">No rutinario</t>
        </is>
      </c>
      <c r="B11" s="55" t="inlineStr">
        <is>
          <t xml:space="preserve">Mantenimiento - cambio de motor, eje o cable</t>
        </is>
      </c>
      <c r="C11" s="56" t="inlineStr">
        <is>
          <t xml:space="preserve">El personal de mantenimiento cambia el switch de llave a modo mantenimiento y bloquea el switch general de energía antes de intervenir</t>
        </is>
      </c>
      <c r="D11" s="56" t="inlineStr">
        <is>
          <t xml:space="preserve">Mecanico</t>
        </is>
      </c>
      <c r="E11" s="49" t="inlineStr">
        <is>
          <t xml:space="preserve">Partes móviles</t>
        </is>
      </c>
      <c r="F11" s="49" t="inlineStr">
        <is>
          <t xml:space="preserve">Atrapamiento</t>
        </is>
      </c>
      <c r="G11" s="56" t="inlineStr">
        <is>
          <t xml:space="preserve">Control</t>
        </is>
      </c>
      <c r="H11" s="57" t="inlineStr">
        <is>
          <t xml:space="preserve">5</t>
        </is>
      </c>
      <c r="I11" s="57" t="inlineStr">
        <is>
          <t xml:space="preserve">2</t>
        </is>
      </c>
      <c r="J11" s="51">
        <f t="shared" si="3"/>
        <v>0</v>
      </c>
      <c r="K11" s="107" t="inlineStr">
        <is>
          <t xml:space="preserve">LOTO</t>
        </is>
      </c>
      <c r="L11" s="58" t="inlineStr">
        <is>
          <t xml:space="preserve">No se requiere EPP adicional; candado y tarjeta de bloqueo en el switch general.</t>
        </is>
      </c>
      <c r="M11" s="58" t="inlineStr">
        <is>
          <t xml:space="preserve">Procedimiento LOTO de la estación</t>
        </is>
      </c>
      <c r="N11" s="57" t="inlineStr">
        <is>
          <t xml:space="preserve">EHS / Automation</t>
        </is>
      </c>
      <c r="O11" s="49" t="inlineStr">
        <is>
          <t xml:space="preserve">3</t>
        </is>
      </c>
      <c r="P11" s="61">
        <f t="shared" si="4"/>
        <v>0</v>
      </c>
      <c r="Q11" s="60">
        <f t="shared" si="5"/>
        <v>0</v>
      </c>
      <c r="R11" s="57"/>
      <c r="S11" s="57"/>
    </row>
    <row r="12" spans="1:19" x14ac:dyDescent="0.2">
      <c r="A12" s="55" t="inlineStr">
        <is>
          <t xml:space="preserve">Rutinario</t>
        </is>
      </c>
      <c r="B12" s="55" t="inlineStr">
        <is>
          <t xml:space="preserve">Operación normal - recolección de tornillo por succión de vacío en el feeder</t>
        </is>
      </c>
      <c r="C12" s="56" t="inlineStr">
        <is>
          <t xml:space="preserve">La electroválvula de vacío recoge el tornillo del feeder antes de llevarlo a la posición de atornillado</t>
        </is>
      </c>
      <c r="D12" s="56" t="inlineStr">
        <is>
          <t xml:space="preserve">Mecanico</t>
        </is>
      </c>
      <c r="E12" s="49" t="inlineStr">
        <is>
          <t xml:space="preserve">Partes móviles</t>
        </is>
      </c>
      <c r="F12" s="49" t="inlineStr">
        <is>
          <t xml:space="preserve">Laceración</t>
        </is>
      </c>
      <c r="G12" s="56" t="inlineStr">
        <is>
          <t xml:space="preserve">Control</t>
        </is>
      </c>
      <c r="H12" s="57" t="inlineStr">
        <is>
          <t xml:space="preserve">2</t>
        </is>
      </c>
      <c r="I12" s="57" t="inlineStr">
        <is>
          <t xml:space="preserve">2</t>
        </is>
      </c>
      <c r="J12" s="51">
        <f t="shared" si="3"/>
        <v>0</v>
      </c>
      <c r="K12" s="107" t="inlineStr">
        <is>
          <t xml:space="preserve">Resguardos mecánicos</t>
        </is>
      </c>
      <c r="L12" s="58" t="inlineStr">
        <is>
          <t xml:space="preserve">No se requiere EPP adicional; guarda fija en el punto de recolección del feeder.</t>
        </is>
      </c>
      <c r="M12" s="58" t="inlineStr">
        <is>
          <t xml:space="preserve">SOP Operación Estaciones GECKO</t>
        </is>
      </c>
      <c r="N12" s="57" t="inlineStr">
        <is>
          <t xml:space="preserve">EHS / Automation</t>
        </is>
      </c>
      <c r="O12" s="49" t="inlineStr">
        <is>
          <t xml:space="preserve">3</t>
        </is>
      </c>
      <c r="P12" s="61">
        <f t="shared" si="4"/>
        <v>0</v>
      </c>
      <c r="Q12" s="60">
        <f t="shared" si="5"/>
        <v>0</v>
      </c>
      <c r="R12" s="57"/>
      <c r="S12" s="57"/>
    </row>
    <row r="13" spans="1:19" x14ac:dyDescent="0.2">
      <c r="A13" s="55" t="inlineStr">
        <is>
          <t xml:space="preserve">No rutinario</t>
        </is>
      </c>
      <c r="B13" s="55" t="inlineStr">
        <is>
          <t xml:space="preserve">Mantenimiento correctivo / solución de problemas eléctricos</t>
        </is>
      </c>
      <c r="C13" s="56" t="inlineStr">
        <is>
          <t xml:space="preserve">El personal de mantenimiento abre el gabinete/panel eléctrico de la estación para diagnóstico o reparación</t>
        </is>
      </c>
      <c r="D13" s="56" t="inlineStr">
        <is>
          <t xml:space="preserve">Eléctrico</t>
        </is>
      </c>
      <c r="E13" s="49" t="inlineStr">
        <is>
          <t xml:space="preserve">Conductores energizados</t>
        </is>
      </c>
      <c r="F13" s="49" t="inlineStr">
        <is>
          <t xml:space="preserve">Electrocución</t>
        </is>
      </c>
      <c r="G13" s="56" t="inlineStr">
        <is>
          <t xml:space="preserve">Control</t>
        </is>
      </c>
      <c r="H13" s="57" t="inlineStr">
        <is>
          <t xml:space="preserve">5</t>
        </is>
      </c>
      <c r="I13" s="57" t="inlineStr">
        <is>
          <t xml:space="preserve">2</t>
        </is>
      </c>
      <c r="J13" s="51">
        <f t="shared" si="3"/>
        <v>0</v>
      </c>
      <c r="K13" s="107" t="inlineStr">
        <is>
          <t xml:space="preserve">LOTO</t>
        </is>
      </c>
      <c r="L13" s="58" t="inlineStr">
        <is>
          <t xml:space="preserve">Guantes dieléctricos (clase según voltaje) y calzado aislante.</t>
        </is>
      </c>
      <c r="M13" s="58" t="inlineStr">
        <is>
          <t xml:space="preserve">Procedimiento LOTO de la estación</t>
        </is>
      </c>
      <c r="N13" s="57" t="inlineStr">
        <is>
          <t xml:space="preserve">EHS / Automation</t>
        </is>
      </c>
      <c r="O13" s="49" t="inlineStr">
        <is>
          <t xml:space="preserve">4</t>
        </is>
      </c>
      <c r="P13" s="61">
        <f t="shared" si="4"/>
        <v>0</v>
      </c>
      <c r="Q13" s="60">
        <f t="shared" si="5"/>
        <v>0</v>
      </c>
      <c r="R13" s="57"/>
      <c r="S13" s="57"/>
    </row>
    <row r="14" spans="1:19" x14ac:dyDescent="0.2">
      <c r="A14" s="55" t="inlineStr">
        <is>
          <t xml:space="preserve">Rutinario</t>
        </is>
      </c>
      <c r="B14" s="55" t="inlineStr">
        <is>
          <t xml:space="preserve">Manejo de materiales - clampeo manual de la pieza</t>
        </is>
      </c>
      <c r="C14" s="56" t="inlineStr">
        <is>
          <t xml:space="preserve">El operador coloca la pieza en la fixtura y cierra los 2 clamps manuales cada ciclo</t>
        </is>
      </c>
      <c r="D14" s="56" t="inlineStr">
        <is>
          <t xml:space="preserve">Ergonomía</t>
        </is>
      </c>
      <c r="E14" s="49" t="inlineStr">
        <is>
          <t xml:space="preserve">Movimientos repetitivos</t>
        </is>
      </c>
      <c r="F14" s="49" t="inlineStr">
        <is>
          <t xml:space="preserve">Fatiga muscular</t>
        </is>
      </c>
      <c r="G14" s="56" t="inlineStr">
        <is>
          <t xml:space="preserve">Influencia</t>
        </is>
      </c>
      <c r="H14" s="57" t="inlineStr">
        <is>
          <t xml:space="preserve">2</t>
        </is>
      </c>
      <c r="I14" s="57" t="inlineStr">
        <is>
          <t xml:space="preserve">3</t>
        </is>
      </c>
      <c r="J14" s="51">
        <f t="shared" si="3"/>
        <v>0</v>
      </c>
      <c r="K14" s="107" t="inlineStr">
        <is>
          <t xml:space="preserve">ergonomía</t>
        </is>
      </c>
      <c r="L14" s="58" t="inlineStr">
        <is>
          <t xml:space="preserve">No se requiere EPP adicional.</t>
        </is>
      </c>
      <c r="M14" s="58" t="inlineStr">
        <is>
          <t xml:space="preserve">Evaluación ergonómica de la estación</t>
        </is>
      </c>
      <c r="N14" s="57" t="inlineStr">
        <is>
          <t xml:space="preserve">EHS / Automation</t>
        </is>
      </c>
      <c r="O14" s="49" t="inlineStr">
        <is>
          <t xml:space="preserve">4</t>
        </is>
      </c>
      <c r="P14" s="61">
        <f t="shared" si="4"/>
        <v>0</v>
      </c>
      <c r="Q14" s="60">
        <f t="shared" si="5"/>
        <v>0</v>
      </c>
      <c r="R14" s="57"/>
      <c r="S14" s="57"/>
    </row>
    <row r="15" spans="1:19" x14ac:dyDescent="0.2">
      <c r="A15" s="55" t="inlineStr">
        <is>
          <t xml:space="preserve">No rutinario</t>
        </is>
      </c>
      <c r="B15" s="55" t="inlineStr">
        <is>
          <t xml:space="preserve">Mantenimiento - energía neumática residual del sistema de vacío</t>
        </is>
      </c>
      <c r="C15" s="56" t="inlineStr">
        <is>
          <t xml:space="preserve">El personal de mantenimiento interviene la línea neumática de la electroválvula de vacío; actualmente no existe válvula de despresurización/bloqueo LOTO neumático (en proceso de compra)</t>
        </is>
      </c>
      <c r="D15" s="56" t="inlineStr">
        <is>
          <t xml:space="preserve">Mecanico</t>
        </is>
      </c>
      <c r="E15" s="49" t="inlineStr">
        <is>
          <t xml:space="preserve">Sistema de presión</t>
        </is>
      </c>
      <c r="F15" s="49" t="inlineStr">
        <is>
          <t xml:space="preserve">Laceraciones</t>
        </is>
      </c>
      <c r="G15" s="56" t="inlineStr">
        <is>
          <t xml:space="preserve">Influencia</t>
        </is>
      </c>
      <c r="H15" s="57" t="inlineStr">
        <is>
          <t xml:space="preserve">1</t>
        </is>
      </c>
      <c r="I15" s="57" t="inlineStr">
        <is>
          <t xml:space="preserve">2</t>
        </is>
      </c>
      <c r="J15" s="51">
        <f t="shared" si="3"/>
        <v>0</v>
      </c>
      <c r="K15" s="107" t="inlineStr">
        <is>
          <t xml:space="preserve">inspecciones periódicas</t>
        </is>
      </c>
      <c r="L15" s="58" t="inlineStr">
        <is>
          <t xml:space="preserve">No se requiere EPP adicional. Riesgo bajo: solo succión de baja presión, sin pistones. Pendiente instalar válvula de despresurización/bloqueo LOTO neumático (en compra); mientras tanto solo se cuenta con inspección periódica del circuito.</t>
        </is>
      </c>
      <c r="M15" s="58" t="inlineStr">
        <is>
          <t xml:space="preserve">Procedimiento LOTO de la estación (pendiente actualizar con válvula neumática)</t>
        </is>
      </c>
      <c r="N15" s="57" t="inlineStr">
        <is>
          <t xml:space="preserve">EHS / Automation</t>
        </is>
      </c>
      <c r="O15" s="49" t="inlineStr">
        <is>
          <t xml:space="preserve">5</t>
        </is>
      </c>
      <c r="P15" s="61">
        <f t="shared" si="4"/>
        <v>0</v>
      </c>
      <c r="Q15" s="60">
        <f t="shared" si="5"/>
        <v>0</v>
      </c>
      <c r="R15" s="57"/>
      <c r="S15" s="57"/>
    </row>
    <row r="16" spans="1:19" x14ac:dyDescent="0.2">
      <c r="A16" s="55" t="inlineStr">
        <is>
          <t xml:space="preserve">Rutinario</t>
        </is>
      </c>
      <c r="B16" s="55" t="inlineStr">
        <is>
          <t xml:space="preserve">Operación normal - verificación Poka Yoke de presencia/orientación de la pieza</t>
        </is>
      </c>
      <c r="C16" s="56" t="inlineStr">
        <is>
          <t xml:space="preserve">El sensor/pin Poka Yoke de la fixtura verifica que la pieza esté correctamente orientada antes de permitir el ciclo; el operador puede tener contacto accidental con el mecanismo al cargar la pieza</t>
        </is>
      </c>
      <c r="D16" s="56" t="inlineStr">
        <is>
          <t xml:space="preserve">Mecanico</t>
        </is>
      </c>
      <c r="E16" s="49" t="inlineStr">
        <is>
          <t xml:space="preserve">Partes móviles</t>
        </is>
      </c>
      <c r="F16" s="49" t="inlineStr">
        <is>
          <t xml:space="preserve">Laceración</t>
        </is>
      </c>
      <c r="G16" s="56" t="inlineStr">
        <is>
          <t xml:space="preserve">Control</t>
        </is>
      </c>
      <c r="H16" s="57" t="inlineStr">
        <is>
          <t xml:space="preserve">1</t>
        </is>
      </c>
      <c r="I16" s="57" t="inlineStr">
        <is>
          <t xml:space="preserve">1</t>
        </is>
      </c>
      <c r="J16" s="51">
        <f t="shared" si="3"/>
        <v>0</v>
      </c>
      <c r="K16" s="107" t="inlineStr">
        <is>
          <t xml:space="preserve">Resguardos mecánicos</t>
        </is>
      </c>
      <c r="L16" s="58" t="inlineStr">
        <is>
          <t xml:space="preserve">No se requiere EPP adicional.</t>
        </is>
      </c>
      <c r="M16" s="58" t="inlineStr">
        <is>
          <t xml:space="preserve">SOP Operación Estaciones GECKO</t>
        </is>
      </c>
      <c r="N16" s="57" t="inlineStr">
        <is>
          <t xml:space="preserve">EHS / Automation</t>
        </is>
      </c>
      <c r="O16" s="49" t="inlineStr">
        <is>
          <t xml:space="preserve">3</t>
        </is>
      </c>
      <c r="P16" s="61">
        <f t="shared" si="4"/>
        <v>0</v>
      </c>
      <c r="Q16" s="60">
        <f t="shared" si="5"/>
        <v>0</v>
      </c>
      <c r="R16" s="57"/>
      <c r="S16" s="57"/>
    </row>
    <row r="17" spans="1:19" x14ac:dyDescent="0.2">
      <c r="A17" s="55" t="inlineStr">
        <is>
          <t xml:space="preserve">Rutinario</t>
        </is>
      </c>
      <c r="B17" s="55" t="inlineStr">
        <is>
          <t xml:space="preserve">Operación normal - lectura de código con escáner fijo</t>
        </is>
      </c>
      <c r="C17" s="56" t="inlineStr">
        <is>
          <t xml:space="preserve">El escáner fijo lee el código de la pieza/etiqueta antes o durante el ciclo; el operador puede golpearse con el brazo/soporte del escáner al cargar o descargar material</t>
        </is>
      </c>
      <c r="D17" s="56" t="inlineStr">
        <is>
          <t xml:space="preserve">Mecanico</t>
        </is>
      </c>
      <c r="E17" s="49" t="inlineStr">
        <is>
          <t xml:space="preserve">Partes móviles</t>
        </is>
      </c>
      <c r="F17" s="49" t="inlineStr">
        <is>
          <t xml:space="preserve">Laceración</t>
        </is>
      </c>
      <c r="G17" s="56" t="inlineStr">
        <is>
          <t xml:space="preserve">Control</t>
        </is>
      </c>
      <c r="H17" s="57" t="inlineStr">
        <is>
          <t xml:space="preserve">1</t>
        </is>
      </c>
      <c r="I17" s="57" t="inlineStr">
        <is>
          <t xml:space="preserve">1</t>
        </is>
      </c>
      <c r="J17" s="51">
        <f t="shared" si="3"/>
        <v>0</v>
      </c>
      <c r="K17" s="107" t="inlineStr">
        <is>
          <t xml:space="preserve">Resguardos mecánicos</t>
        </is>
      </c>
      <c r="L17" s="58" t="inlineStr">
        <is>
          <t xml:space="preserve">No se requiere EPP adicional.</t>
        </is>
      </c>
      <c r="M17" s="58" t="inlineStr">
        <is>
          <t xml:space="preserve">SOP Operación Estaciones GECKO</t>
        </is>
      </c>
      <c r="N17" s="57" t="inlineStr">
        <is>
          <t xml:space="preserve">EHS / Automation</t>
        </is>
      </c>
      <c r="O17" s="49" t="inlineStr">
        <is>
          <t xml:space="preserve">3</t>
        </is>
      </c>
      <c r="P17" s="61">
        <f t="shared" si="4"/>
        <v>0</v>
      </c>
      <c r="Q17" s="60">
        <f t="shared" si="5"/>
        <v>0</v>
      </c>
      <c r="R17" s="57"/>
      <c r="S17" s="57"/>
    </row>
    <row r="18" spans="1:19" x14ac:dyDescent="0.2">
      <c r="A18" s="55" t="inlineStr">
        <is>
          <t xml:space="preserve">Rutinario</t>
        </is>
      </c>
      <c r="B18" s="55" t="inlineStr">
        <is>
          <t xml:space="preserve">Operación normal - contacto con partes fijas de la fixtura (bordes/topes)</t>
        </is>
      </c>
      <c r="C18" s="56" t="inlineStr">
        <is>
          <t xml:space="preserve">El operador puede golpearse o atraparse los dedos con los bordes/topes fijos de la fixtura al colocar o retirar la pieza, independientemente de los 2 clamps móviles</t>
        </is>
      </c>
      <c r="D18" s="56" t="inlineStr">
        <is>
          <t xml:space="preserve">Mecanico</t>
        </is>
      </c>
      <c r="E18" s="49" t="inlineStr">
        <is>
          <t xml:space="preserve">Partes móviles</t>
        </is>
      </c>
      <c r="F18" s="49" t="inlineStr">
        <is>
          <t xml:space="preserve">Laceración</t>
        </is>
      </c>
      <c r="G18" s="56" t="inlineStr">
        <is>
          <t xml:space="preserve">Control</t>
        </is>
      </c>
      <c r="H18" s="57" t="inlineStr">
        <is>
          <t xml:space="preserve">1</t>
        </is>
      </c>
      <c r="I18" s="57" t="inlineStr">
        <is>
          <t xml:space="preserve">2</t>
        </is>
      </c>
      <c r="J18" s="51">
        <f t="shared" si="3"/>
        <v>0</v>
      </c>
      <c r="K18" s="107" t="inlineStr">
        <is>
          <t xml:space="preserve">Resguardos mecánicos</t>
        </is>
      </c>
      <c r="L18" s="58" t="inlineStr">
        <is>
          <t xml:space="preserve">No se requiere EPP adicional.</t>
        </is>
      </c>
      <c r="M18" s="58" t="inlineStr">
        <is>
          <t xml:space="preserve">SOP Operación Estaciones GECKO</t>
        </is>
      </c>
      <c r="N18" s="57" t="inlineStr">
        <is>
          <t xml:space="preserve">EHS / Automation</t>
        </is>
      </c>
      <c r="O18" s="49" t="inlineStr">
        <is>
          <t xml:space="preserve">3</t>
        </is>
      </c>
      <c r="P18" s="61">
        <f t="shared" si="4"/>
        <v>0</v>
      </c>
      <c r="Q18" s="60">
        <f t="shared" si="5"/>
        <v>0</v>
      </c>
      <c r="R18" s="57"/>
      <c r="S18" s="57"/>
    </row>
    <row r="19" spans="1:19" x14ac:dyDescent="0.2">
      <c r="A19" s="55" t="inlineStr">
        <is>
          <t xml:space="preserve">Rutinario</t>
        </is>
      </c>
      <c r="B19" s="55" t="inlineStr">
        <is>
          <t xml:space="preserve">Operación normal - islas de conexión eléctrica (alimentación y sensores)</t>
        </is>
      </c>
      <c r="C19" s="56" t="inlineStr">
        <is>
          <t xml:space="preserve">Las islas/bloques de conexión eléctrica de alimentación y de sensores quedan accesibles en el área de trabajo durante la operación normal</t>
        </is>
      </c>
      <c r="D19" s="56" t="inlineStr">
        <is>
          <t xml:space="preserve">Eléctrico</t>
        </is>
      </c>
      <c r="E19" s="49" t="inlineStr">
        <is>
          <t xml:space="preserve">Conductores energizados</t>
        </is>
      </c>
      <c r="F19" s="49" t="inlineStr">
        <is>
          <t xml:space="preserve">Electrocución</t>
        </is>
      </c>
      <c r="G19" s="56" t="inlineStr">
        <is>
          <t xml:space="preserve">Control</t>
        </is>
      </c>
      <c r="H19" s="57" t="inlineStr">
        <is>
          <t xml:space="preserve">2</t>
        </is>
      </c>
      <c r="I19" s="57" t="inlineStr">
        <is>
          <t xml:space="preserve">1</t>
        </is>
      </c>
      <c r="J19" s="51">
        <f t="shared" si="3"/>
        <v>0</v>
      </c>
      <c r="K19" s="107" t="inlineStr">
        <is>
          <t xml:space="preserve">detección de voltaje</t>
        </is>
      </c>
      <c r="L19" s="58" t="inlineStr">
        <is>
          <t xml:space="preserve">No se requiere EPP adicional; conexiones con guarda de protección, verificar que no presenten aberturas ni cables expuestos.</t>
        </is>
      </c>
      <c r="M19" s="58" t="inlineStr">
        <is>
          <t xml:space="preserve">SOP Operación Estaciones GECKO</t>
        </is>
      </c>
      <c r="N19" s="57" t="inlineStr">
        <is>
          <t xml:space="preserve">EHS / Automation</t>
        </is>
      </c>
      <c r="O19" s="49" t="inlineStr">
        <is>
          <t xml:space="preserve">3</t>
        </is>
      </c>
      <c r="P19" s="61">
        <f t="shared" si="4"/>
        <v>0</v>
      </c>
      <c r="Q19" s="60">
        <f t="shared" si="5"/>
        <v>0</v>
      </c>
      <c r="R19" s="57"/>
      <c r="S19" s="57"/>
    </row>
    <row r="20" spans="1:19" x14ac:dyDescent="0.2">
      <c r="A20" s="55"/>
      <c r="B20" s="55"/>
      <c r="C20" s="56"/>
      <c r="D20" s="56"/>
      <c r="E20" s="49"/>
      <c r="F20" s="49"/>
      <c r="G20" s="56"/>
      <c r="H20" s="57"/>
      <c r="I20" s="57"/>
      <c r="J20" s="51">
        <f t="shared" si="3"/>
        <v>0</v>
      </c>
      <c r="K20" s="107"/>
      <c r="L20" s="58"/>
      <c r="M20" s="58"/>
      <c r="N20" s="57"/>
      <c r="O20" s="49"/>
      <c r="P20" s="61">
        <f t="shared" si="4"/>
        <v>0</v>
      </c>
      <c r="Q20" s="60">
        <f t="shared" si="5"/>
        <v>0</v>
      </c>
      <c r="R20" s="57"/>
      <c r="S20" s="57"/>
    </row>
    <row r="21" spans="1:19" x14ac:dyDescent="0.2">
      <c r="A21" s="55"/>
      <c r="B21" s="55"/>
      <c r="C21" s="56"/>
      <c r="D21" s="56"/>
      <c r="E21" s="49"/>
      <c r="F21" s="49"/>
      <c r="G21" s="56"/>
      <c r="H21" s="57"/>
      <c r="I21" s="57"/>
      <c r="J21" s="51">
        <f t="shared" si="3"/>
        <v>0</v>
      </c>
      <c r="K21" s="107"/>
      <c r="L21" s="58"/>
      <c r="M21" s="58"/>
      <c r="N21" s="57"/>
      <c r="O21" s="49"/>
      <c r="P21" s="61">
        <f t="shared" si="4"/>
        <v>0</v>
      </c>
      <c r="Q21" s="60">
        <f t="shared" si="5"/>
        <v>0</v>
      </c>
      <c r="R21" s="57"/>
      <c r="S21" s="57"/>
    </row>
    <row r="22" spans="1:19" x14ac:dyDescent="0.2">
      <c r="A22" s="55"/>
      <c r="B22" s="55"/>
      <c r="C22" s="56"/>
      <c r="D22" s="56"/>
      <c r="E22" s="49"/>
      <c r="F22" s="49"/>
      <c r="G22" s="56"/>
      <c r="H22" s="57"/>
      <c r="I22" s="57"/>
      <c r="J22" s="51">
        <f t="shared" si="3"/>
        <v>0</v>
      </c>
      <c r="K22" s="107"/>
      <c r="L22" s="58"/>
      <c r="M22" s="58"/>
      <c r="N22" s="57"/>
      <c r="O22" s="49"/>
      <c r="P22" s="61">
        <f t="shared" si="4"/>
        <v>0</v>
      </c>
      <c r="Q22" s="60">
        <f t="shared" si="5"/>
        <v>0</v>
      </c>
      <c r="R22" s="57"/>
      <c r="S22" s="57"/>
    </row>
    <row r="23" spans="1:19" x14ac:dyDescent="0.2">
      <c r="A23" s="55"/>
      <c r="B23" s="55"/>
      <c r="C23" s="56"/>
      <c r="D23" s="56"/>
      <c r="E23" s="49"/>
      <c r="F23" s="49"/>
      <c r="G23" s="56"/>
      <c r="H23" s="57"/>
      <c r="I23" s="57"/>
      <c r="J23" s="51">
        <f t="shared" si="3"/>
        <v>0</v>
      </c>
      <c r="K23" s="107"/>
      <c r="L23" s="58"/>
      <c r="M23" s="58"/>
      <c r="N23" s="57"/>
      <c r="O23" s="49"/>
      <c r="P23" s="61">
        <f t="shared" si="4"/>
        <v>0</v>
      </c>
      <c r="Q23" s="60">
        <f t="shared" si="5"/>
        <v>0</v>
      </c>
      <c r="R23" s="57"/>
      <c r="S23" s="57"/>
    </row>
    <row r="24" spans="1:19" x14ac:dyDescent="0.2">
      <c r="A24" s="55"/>
      <c r="B24" s="55"/>
      <c r="C24" s="56"/>
      <c r="D24" s="56"/>
      <c r="E24" s="49"/>
      <c r="F24" s="49"/>
      <c r="G24" s="56"/>
      <c r="H24" s="57"/>
      <c r="I24" s="57"/>
      <c r="J24" s="51">
        <f t="shared" si="3"/>
        <v>0</v>
      </c>
      <c r="K24" s="107"/>
      <c r="L24" s="58"/>
      <c r="M24" s="58"/>
      <c r="N24" s="57"/>
      <c r="O24" s="49"/>
      <c r="P24" s="61">
        <f t="shared" si="4"/>
        <v>0</v>
      </c>
      <c r="Q24" s="60">
        <f t="shared" si="5"/>
        <v>0</v>
      </c>
      <c r="R24" s="57"/>
      <c r="S24" s="57"/>
    </row>
    <row r="25" spans="1:19" x14ac:dyDescent="0.2">
      <c r="A25" s="55"/>
      <c r="B25" s="55"/>
      <c r="C25" s="56"/>
      <c r="D25" s="56"/>
      <c r="E25" s="49"/>
      <c r="F25" s="49"/>
      <c r="G25" s="56"/>
      <c r="H25" s="57"/>
      <c r="I25" s="57"/>
      <c r="J25" s="51">
        <f t="shared" si="3"/>
        <v>0</v>
      </c>
      <c r="K25" s="107"/>
      <c r="L25" s="58"/>
      <c r="M25" s="58"/>
      <c r="N25" s="57"/>
      <c r="O25" s="49"/>
      <c r="P25" s="61">
        <f t="shared" si="4"/>
        <v>0</v>
      </c>
      <c r="Q25" s="60">
        <f t="shared" si="5"/>
        <v>0</v>
      </c>
      <c r="R25" s="57"/>
      <c r="S25" s="57"/>
    </row>
    <row r="26" spans="1:19" x14ac:dyDescent="0.2">
      <c r="A26" s="55"/>
      <c r="B26" s="55"/>
      <c r="C26" s="56"/>
      <c r="D26" s="56"/>
      <c r="E26" s="49"/>
      <c r="F26" s="49"/>
      <c r="G26" s="56"/>
      <c r="H26" s="57"/>
      <c r="I26" s="57"/>
      <c r="J26" s="51">
        <f t="shared" si="3"/>
        <v>0</v>
      </c>
      <c r="K26" s="107"/>
      <c r="L26" s="58"/>
      <c r="M26" s="58"/>
      <c r="N26" s="57"/>
      <c r="O26" s="49"/>
      <c r="P26" s="61">
        <f t="shared" si="4"/>
        <v>0</v>
      </c>
      <c r="Q26" s="60">
        <f t="shared" si="5"/>
        <v>0</v>
      </c>
      <c r="R26" s="57"/>
      <c r="S26" s="57"/>
    </row>
    <row r="27" spans="1:19" x14ac:dyDescent="0.2">
      <c r="A27" s="55"/>
      <c r="B27" s="55"/>
      <c r="C27" s="56"/>
      <c r="D27" s="56"/>
      <c r="E27" s="49"/>
      <c r="F27" s="49"/>
      <c r="G27" s="56"/>
      <c r="H27" s="57"/>
      <c r="I27" s="57"/>
      <c r="J27" s="51">
        <f t="shared" si="3"/>
        <v>0</v>
      </c>
      <c r="K27" s="107"/>
      <c r="L27" s="58"/>
      <c r="M27" s="58"/>
      <c r="N27" s="57"/>
      <c r="O27" s="49"/>
      <c r="P27" s="61">
        <f t="shared" si="4"/>
        <v>0</v>
      </c>
      <c r="Q27" s="60">
        <f t="shared" si="5"/>
        <v>0</v>
      </c>
      <c r="R27" s="57"/>
      <c r="S27" s="57"/>
    </row>
    <row r="28" spans="1:19" ht="39.950000000000003" customHeight="1" x14ac:dyDescent="0.2">
      <c r="K28" t="s">
        <v>32</v>
      </c>
    </row>
    <row r="29" spans="1:19" ht="39.950000000000003" customHeight="1" x14ac:dyDescent="0.2"/>
    <row r="30" spans="1:19" ht="39.950000000000003" customHeight="1" x14ac:dyDescent="0.2"/>
    <row r="31" spans="1:19" ht="39.950000000000003" customHeight="1" x14ac:dyDescent="0.2"/>
    <row r="32" spans="1:19" ht="39.950000000000003" customHeight="1" x14ac:dyDescent="0.2"/>
    <row r="33" ht="39" customHeight="1" x14ac:dyDescent="0.2"/>
  </sheetData>
  <mergeCells count="34">
    <mergeCell ref="S6:S7"/>
    <mergeCell ref="P5:S5"/>
    <mergeCell ref="N2:O2"/>
    <mergeCell ref="P4:S4"/>
    <mergeCell ref="H3:K3"/>
    <mergeCell ref="N6:N7"/>
    <mergeCell ref="P2:S2"/>
    <mergeCell ref="N5:O5"/>
    <mergeCell ref="P3:S3"/>
    <mergeCell ref="N3:O3"/>
    <mergeCell ref="B6:B7"/>
    <mergeCell ref="C6:C7"/>
    <mergeCell ref="E6:E7"/>
    <mergeCell ref="H5:K5"/>
    <mergeCell ref="A2:D2"/>
    <mergeCell ref="E5:G5"/>
    <mergeCell ref="H4:K4"/>
    <mergeCell ref="G6:G7"/>
    <mergeCell ref="E1:G1"/>
    <mergeCell ref="K6:K7"/>
    <mergeCell ref="A5:D5"/>
    <mergeCell ref="M6:M7"/>
    <mergeCell ref="A1:D1"/>
    <mergeCell ref="E2:G2"/>
    <mergeCell ref="A6:A7"/>
    <mergeCell ref="A3:C4"/>
    <mergeCell ref="F6:F7"/>
    <mergeCell ref="L6:L7"/>
    <mergeCell ref="H1:S1"/>
    <mergeCell ref="D6:D7"/>
    <mergeCell ref="H2:K2"/>
    <mergeCell ref="R6:R7"/>
    <mergeCell ref="N4:O4"/>
    <mergeCell ref="E3:G4"/>
  </mergeCells>
  <conditionalFormatting sqref="J8:J27 P8:P27">
    <cfRule type="cellIs" dxfId="19" priority="2" operator="equal">
      <formula>0</formula>
    </cfRule>
  </conditionalFormatting>
  <conditionalFormatting sqref="J8:J27">
    <cfRule type="cellIs" dxfId="18" priority="7" operator="between">
      <formula>17</formula>
      <formula>25</formula>
    </cfRule>
    <cfRule type="cellIs" dxfId="17" priority="8" operator="between">
      <formula>10</formula>
      <formula>16</formula>
    </cfRule>
    <cfRule type="cellIs" dxfId="16" priority="9" operator="between">
      <formula>4</formula>
      <formula>9</formula>
    </cfRule>
    <cfRule type="cellIs" dxfId="15" priority="10" operator="between">
      <formula>1</formula>
      <formula>3</formula>
    </cfRule>
  </conditionalFormatting>
  <conditionalFormatting sqref="P8:P27">
    <cfRule type="cellIs" dxfId="14" priority="3" operator="between">
      <formula>17</formula>
      <formula>25</formula>
    </cfRule>
    <cfRule type="cellIs" dxfId="13" priority="4" operator="between">
      <formula>10</formula>
      <formula>16.9999999999999</formula>
    </cfRule>
    <cfRule type="cellIs" dxfId="12" priority="5" operator="between">
      <formula>4</formula>
      <formula>9.99999999999999</formula>
    </cfRule>
    <cfRule type="cellIs" dxfId="11" priority="6" operator="between">
      <formula>0</formula>
      <formula>3.99999999999999</formula>
    </cfRule>
  </conditionalFormatting>
  <dataValidations count="5">
    <dataValidation type="list" allowBlank="1" showInputMessage="1" showErrorMessage="1" sqref="M28:M1048576 R28:R1048576" xr:uid="{00000000-0002-0000-0000-000000000000}">
      <formula1>INDIRECT("Table5[CtrlOrdenTrabajo]")</formula1>
    </dataValidation>
    <dataValidation type="list" allowBlank="1" showInputMessage="1" showErrorMessage="1" sqref="G28:G1048576" xr:uid="{00000000-0002-0000-0000-000001000000}">
      <formula1>INDIRECT("Table4[Control-Influencia]")</formula1>
    </dataValidation>
    <dataValidation type="list" allowBlank="1" showInputMessage="1" showErrorMessage="1" sqref="H8:I27" xr:uid="{00000000-0002-0000-0000-000002000000}">
      <formula1>"1,2,3,4,5"</formula1>
    </dataValidation>
    <dataValidation type="list" allowBlank="1" showDropDown="1" sqref="D28:D500" xr:uid="{00000000-0002-0000-0000-000003000000}">
      <formula1>ListaCategoriasRiesgo</formula1>
    </dataValidation>
    <dataValidation type="list" allowBlank="1" sqref="D8:D27" xr:uid="{9A495DDF-514B-4185-B22D-68BD74FD2B82}">
      <formula1>ListaCategoriasRiesgo</formula1>
    </dataValidation>
  </dataValidations>
  <pageMargins left="0.70866141732283472" right="0.70866141732283472" top="0.74803149606299213" bottom="0.74803149606299213" header="0.31496062992125984" footer="0.31496062992125984"/>
  <pageSetup scale="48" orientation="landscape" r:id="rId1"/>
  <headerFooter>
    <oddFooter>&amp;L16-HS80-8000-00019 Rev C / 16-HS20-8000-00037&amp;RTIEMPO DE RETENCION EN EL PUNTO DE ORIGEN: N/A
ARCHIVO MUERTO: N/A
MEDIO DE REGISTRO: ELECTRONICO</oddFooter>
  </headerFooter>
  <legacyDrawing r:id="rId2"/>
  <extLst>
    <ext xmlns:x14="http://schemas.microsoft.com/office/spreadsheetml/2009/9/main" uri="{CCE6A557-97BC-4b89-ADB6-D9C93CAAB3DF}">
      <x14:dataValidations xmlns:xm="http://schemas.microsoft.com/office/excel/2006/main" count="7">
        <x14:dataValidation type="list" allowBlank="1" showDropDown="1" xr:uid="{00000000-0002-0000-0000-000004000000}">
          <x14:formula1>
            <xm:f>INDIRECT(VLOOKUP(D28,Map_Riesgos!$A:$B,2,FALSE))</xm:f>
          </x14:formula1>
          <xm:sqref>E28:E500</xm:sqref>
        </x14:dataValidation>
        <x14:dataValidation type="list" allowBlank="1" showDropDown="1" xr:uid="{00000000-0002-0000-0000-000005000000}">
          <x14:formula1>
            <xm:f>INDIRECT(VLOOKUP(E28,Map_Consecuencias!$A:$B,2,FALSE))</xm:f>
          </x14:formula1>
          <xm:sqref>F28:F500</xm:sqref>
        </x14:dataValidation>
        <x14:dataValidation type="list" allowBlank="1" xr:uid="{F3B52761-4643-40B4-B7B3-CACD259F8FA9}">
          <x14:formula1>
            <xm:f>INDIRECT(VLOOKUP(D8,Map_Riesgos!$A:$B,2,FALSE))</xm:f>
          </x14:formula1>
          <xm:sqref>E8:E27</xm:sqref>
        </x14:dataValidation>
        <x14:dataValidation type="list" allowBlank="1" xr:uid="{89CADC67-D5CC-4F62-A463-5977A97BD93F}">
          <x14:formula1>
            <xm:f>INDIRECT(VLOOKUP(E8,Map_Consecuencias!$A:$B,2,FALSE))</xm:f>
          </x14:formula1>
          <xm:sqref>F8:F27</xm:sqref>
        </x14:dataValidation>
        <x14:dataValidation type="list" allowBlank="1" showInputMessage="1" showErrorMessage="1" xr:uid="{D2CDEFAF-19C1-4E56-81EA-838AB002926C}">
          <x14:formula1>
            <xm:f>'Tabla Guia de Peligros'!$A$92:$A$95</xm:f>
          </x14:formula1>
          <xm:sqref>A8:A27</xm:sqref>
        </x14:dataValidation>
        <x14:dataValidation type="list" allowBlank="1" showInputMessage="1" showErrorMessage="1" xr:uid="{4E39AB0B-572B-4851-9E5A-616D1F857ACD}">
          <x14:formula1>
            <xm:f>'Tabla Guia de Peligros'!$A$106:$A$107</xm:f>
          </x14:formula1>
          <xm:sqref>G8:G27</xm:sqref>
        </x14:dataValidation>
        <x14:dataValidation type="list" allowBlank="1" showInputMessage="1" showErrorMessage="1" xr:uid="{712E278B-A389-4F78-8B2D-F937FC267A9C}">
          <x14:formula1>
            <xm:f>'Tabla Guia de Peligros'!$A$98:$A$102</xm:f>
          </x14:formula1>
          <xm:sqref>O8:O27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
  <sheetViews>
    <sheetView workbookViewId="0">
      <selection activeCell="C2" sqref="C2"/>
    </sheetView>
  </sheetViews>
  <sheetFormatPr defaultColWidth="9.140625"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AAE7-287E-4577-93A9-75A189F69CE8}">
  <dimension ref="B2:G2"/>
  <sheetViews>
    <sheetView view="pageBreakPreview" zoomScale="60" zoomScaleNormal="100" workbookViewId="0">
      <selection activeCell="U44" sqref="U44"/>
    </sheetView>
  </sheetViews>
  <sheetFormatPr defaultColWidth="9.140625" defaultRowHeight="12.75" x14ac:dyDescent="0.2"/>
  <cols>
    <col min="2" max="3" width="15.7109375" customWidth="1"/>
    <col min="4" max="4" width="79.85546875" customWidth="1"/>
    <col min="5" max="5" width="27.42578125" customWidth="1"/>
    <col min="6" max="6" width="16.42578125" customWidth="1"/>
    <col min="7" max="7" width="25.140625" customWidth="1"/>
  </cols>
  <sheetData>
    <row r="2" spans="2:7" x14ac:dyDescent="0.2">
      <c r="B2" s="50" t="s">
        <v>33</v>
      </c>
      <c r="C2" s="50" t="s">
        <v>34</v>
      </c>
      <c r="D2" s="50" t="s">
        <v>35</v>
      </c>
      <c r="E2" s="50" t="s">
        <v>36</v>
      </c>
      <c r="F2" s="50" t="s">
        <v>37</v>
      </c>
      <c r="G2" s="50" t="s">
        <v>38</v>
      </c>
    </row>
  </sheetData>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33"/>
  <sheetViews>
    <sheetView view="pageBreakPreview" topLeftCell="H1" zoomScale="60" zoomScaleNormal="100" workbookViewId="0">
      <selection activeCell="X8" sqref="X8"/>
    </sheetView>
  </sheetViews>
  <sheetFormatPr defaultColWidth="9.140625" defaultRowHeight="12.75" x14ac:dyDescent="0.2"/>
  <cols>
    <col min="2" max="2" width="50.5703125" customWidth="1"/>
    <col min="6" max="6" width="19.42578125" bestFit="1" customWidth="1"/>
    <col min="7" max="7" width="14.140625" bestFit="1" customWidth="1"/>
    <col min="8" max="8" width="100.42578125" customWidth="1"/>
    <col min="11" max="14" width="20" customWidth="1"/>
    <col min="16" max="16" width="10.7109375" bestFit="1" customWidth="1"/>
    <col min="17" max="17" width="29.85546875" customWidth="1"/>
    <col min="20" max="20" width="39.85546875" customWidth="1"/>
  </cols>
  <sheetData>
    <row r="1" spans="2:20" ht="13.5" thickBot="1" x14ac:dyDescent="0.25"/>
    <row r="2" spans="2:20" ht="27.6" customHeight="1" thickBot="1" x14ac:dyDescent="0.25">
      <c r="B2" s="71" t="s">
        <v>39</v>
      </c>
      <c r="F2" s="72" t="s">
        <v>40</v>
      </c>
      <c r="G2" s="72" t="s">
        <v>41</v>
      </c>
      <c r="H2" s="72" t="s">
        <v>42</v>
      </c>
      <c r="J2" s="153" t="s">
        <v>43</v>
      </c>
      <c r="K2" s="154"/>
      <c r="L2" s="154"/>
      <c r="M2" s="154"/>
      <c r="N2" s="152"/>
      <c r="P2" s="151" t="s">
        <v>44</v>
      </c>
      <c r="Q2" s="152"/>
      <c r="S2" s="151" t="s">
        <v>45</v>
      </c>
      <c r="T2" s="152"/>
    </row>
    <row r="3" spans="2:20" ht="37.5" customHeight="1" thickBot="1" x14ac:dyDescent="0.25">
      <c r="B3" s="111" t="s">
        <v>46</v>
      </c>
      <c r="F3" s="73" t="s">
        <v>47</v>
      </c>
      <c r="G3" s="73" t="s">
        <v>48</v>
      </c>
      <c r="H3" s="74" t="s">
        <v>49</v>
      </c>
      <c r="J3" s="86" t="s">
        <v>50</v>
      </c>
      <c r="K3" s="83" t="s">
        <v>51</v>
      </c>
      <c r="L3" s="84" t="s">
        <v>52</v>
      </c>
      <c r="M3" s="84" t="s">
        <v>53</v>
      </c>
      <c r="N3" s="85" t="s">
        <v>54</v>
      </c>
      <c r="P3" s="87" t="s">
        <v>55</v>
      </c>
      <c r="Q3" s="86" t="s">
        <v>56</v>
      </c>
      <c r="S3" s="115">
        <v>1</v>
      </c>
      <c r="T3" s="102" t="s">
        <v>57</v>
      </c>
    </row>
    <row r="4" spans="2:20" ht="90" thickBot="1" x14ac:dyDescent="0.25">
      <c r="B4" s="111" t="s">
        <v>58</v>
      </c>
      <c r="F4" s="75" t="s">
        <v>59</v>
      </c>
      <c r="G4" s="75" t="s">
        <v>60</v>
      </c>
      <c r="H4" s="76" t="s">
        <v>61</v>
      </c>
      <c r="J4" s="90">
        <v>1</v>
      </c>
      <c r="K4" s="88" t="s">
        <v>62</v>
      </c>
      <c r="L4" s="81" t="s">
        <v>63</v>
      </c>
      <c r="M4" s="81" t="s">
        <v>64</v>
      </c>
      <c r="N4" s="93" t="s">
        <v>65</v>
      </c>
      <c r="P4" s="90">
        <v>1</v>
      </c>
      <c r="Q4" s="101" t="s">
        <v>66</v>
      </c>
      <c r="S4" s="106">
        <v>2</v>
      </c>
      <c r="T4" s="103" t="s">
        <v>67</v>
      </c>
    </row>
    <row r="5" spans="2:20" ht="90" x14ac:dyDescent="0.2">
      <c r="B5" s="111" t="s">
        <v>68</v>
      </c>
      <c r="F5" s="77" t="s">
        <v>69</v>
      </c>
      <c r="G5" s="77" t="s">
        <v>70</v>
      </c>
      <c r="H5" s="78" t="s">
        <v>71</v>
      </c>
      <c r="J5" s="91">
        <v>2</v>
      </c>
      <c r="K5" s="89" t="s">
        <v>72</v>
      </c>
      <c r="L5" s="82" t="s">
        <v>73</v>
      </c>
      <c r="M5" s="82" t="s">
        <v>74</v>
      </c>
      <c r="N5" s="94" t="s">
        <v>75</v>
      </c>
      <c r="P5" s="91">
        <v>2</v>
      </c>
      <c r="Q5" s="100" t="s">
        <v>76</v>
      </c>
      <c r="S5" s="116">
        <v>3</v>
      </c>
      <c r="T5" s="104" t="s">
        <v>77</v>
      </c>
    </row>
    <row r="6" spans="2:20" ht="101.25" x14ac:dyDescent="0.2">
      <c r="B6" s="111" t="s">
        <v>78</v>
      </c>
      <c r="F6" s="79" t="s">
        <v>79</v>
      </c>
      <c r="G6" s="79" t="s">
        <v>80</v>
      </c>
      <c r="H6" s="80" t="s">
        <v>81</v>
      </c>
      <c r="J6" s="91">
        <v>3</v>
      </c>
      <c r="K6" s="89" t="s">
        <v>82</v>
      </c>
      <c r="L6" s="82" t="s">
        <v>83</v>
      </c>
      <c r="M6" s="82" t="s">
        <v>84</v>
      </c>
      <c r="N6" s="95" t="s">
        <v>85</v>
      </c>
      <c r="P6" s="91">
        <v>3</v>
      </c>
      <c r="Q6" s="100" t="s">
        <v>86</v>
      </c>
      <c r="S6" s="117">
        <v>4</v>
      </c>
      <c r="T6" s="104" t="s">
        <v>87</v>
      </c>
    </row>
    <row r="7" spans="2:20" ht="79.5" thickBot="1" x14ac:dyDescent="0.25">
      <c r="B7" s="111" t="s">
        <v>88</v>
      </c>
      <c r="J7" s="91">
        <v>4</v>
      </c>
      <c r="K7" s="89" t="s">
        <v>89</v>
      </c>
      <c r="L7" s="82" t="s">
        <v>90</v>
      </c>
      <c r="M7" s="82" t="s">
        <v>91</v>
      </c>
      <c r="N7" s="94" t="s">
        <v>92</v>
      </c>
      <c r="P7" s="91">
        <v>4</v>
      </c>
      <c r="Q7" s="100" t="s">
        <v>93</v>
      </c>
      <c r="S7" s="113">
        <v>5</v>
      </c>
      <c r="T7" s="105" t="s">
        <v>94</v>
      </c>
    </row>
    <row r="8" spans="2:20" ht="90.75" thickBot="1" x14ac:dyDescent="0.25">
      <c r="B8" s="111" t="s">
        <v>95</v>
      </c>
      <c r="J8" s="92">
        <v>5</v>
      </c>
      <c r="K8" s="96" t="s">
        <v>96</v>
      </c>
      <c r="L8" s="97" t="s">
        <v>97</v>
      </c>
      <c r="M8" s="97" t="s">
        <v>98</v>
      </c>
      <c r="N8" s="98" t="s">
        <v>99</v>
      </c>
      <c r="P8" s="92">
        <v>5</v>
      </c>
      <c r="Q8" s="99" t="s">
        <v>100</v>
      </c>
    </row>
    <row r="9" spans="2:20" ht="25.5" customHeight="1" x14ac:dyDescent="0.2">
      <c r="B9" s="111" t="s">
        <v>101</v>
      </c>
    </row>
    <row r="10" spans="2:20" ht="69.599999999999994" customHeight="1" x14ac:dyDescent="0.2">
      <c r="B10" s="111" t="s">
        <v>102</v>
      </c>
    </row>
    <row r="11" spans="2:20" ht="97.5" customHeight="1" x14ac:dyDescent="0.2">
      <c r="B11" s="111" t="s">
        <v>103</v>
      </c>
    </row>
    <row r="12" spans="2:20" ht="80.099999999999994" customHeight="1" x14ac:dyDescent="0.2">
      <c r="B12" s="111" t="s">
        <v>104</v>
      </c>
    </row>
    <row r="13" spans="2:20" ht="87" customHeight="1" x14ac:dyDescent="0.2">
      <c r="B13" s="111" t="s">
        <v>105</v>
      </c>
    </row>
    <row r="14" spans="2:20" ht="87.95" customHeight="1" x14ac:dyDescent="0.2">
      <c r="B14" s="111" t="s">
        <v>106</v>
      </c>
    </row>
    <row r="15" spans="2:20" ht="87.95" customHeight="1" x14ac:dyDescent="0.2">
      <c r="B15" s="111" t="s">
        <v>107</v>
      </c>
    </row>
    <row r="16" spans="2:20" ht="87.6" customHeight="1" x14ac:dyDescent="0.2">
      <c r="B16" s="111" t="s">
        <v>108</v>
      </c>
    </row>
    <row r="17" spans="2:2" ht="50.1" customHeight="1" x14ac:dyDescent="0.2">
      <c r="B17" s="111" t="s">
        <v>109</v>
      </c>
    </row>
    <row r="18" spans="2:2" ht="50.1" customHeight="1" x14ac:dyDescent="0.2">
      <c r="B18" s="111" t="s">
        <v>110</v>
      </c>
    </row>
    <row r="19" spans="2:2" ht="37.5" customHeight="1" x14ac:dyDescent="0.2">
      <c r="B19" s="111" t="s">
        <v>111</v>
      </c>
    </row>
    <row r="20" spans="2:2" ht="37.5" customHeight="1" x14ac:dyDescent="0.2">
      <c r="B20" s="111" t="s">
        <v>112</v>
      </c>
    </row>
    <row r="21" spans="2:2" ht="24.95" customHeight="1" x14ac:dyDescent="0.2">
      <c r="B21" s="111" t="s">
        <v>113</v>
      </c>
    </row>
    <row r="22" spans="2:2" ht="37.5" customHeight="1" x14ac:dyDescent="0.2">
      <c r="B22" s="111" t="s">
        <v>114</v>
      </c>
    </row>
    <row r="23" spans="2:2" ht="24.95" customHeight="1" x14ac:dyDescent="0.2">
      <c r="B23" s="111" t="s">
        <v>115</v>
      </c>
    </row>
    <row r="24" spans="2:2" ht="50.1" customHeight="1" x14ac:dyDescent="0.2">
      <c r="B24" s="111" t="s">
        <v>116</v>
      </c>
    </row>
    <row r="25" spans="2:2" ht="37.5" customHeight="1" x14ac:dyDescent="0.2">
      <c r="B25" s="111" t="s">
        <v>117</v>
      </c>
    </row>
    <row r="26" spans="2:2" ht="50.1" customHeight="1" x14ac:dyDescent="0.2">
      <c r="B26" s="111" t="s">
        <v>118</v>
      </c>
    </row>
    <row r="27" spans="2:2" ht="37.5" customHeight="1" x14ac:dyDescent="0.2">
      <c r="B27" s="111" t="s">
        <v>119</v>
      </c>
    </row>
    <row r="28" spans="2:2" ht="50.1" customHeight="1" x14ac:dyDescent="0.2">
      <c r="B28" s="111" t="s">
        <v>120</v>
      </c>
    </row>
    <row r="29" spans="2:2" ht="37.5" customHeight="1" x14ac:dyDescent="0.2">
      <c r="B29" s="111" t="s">
        <v>121</v>
      </c>
    </row>
    <row r="30" spans="2:2" ht="50.1" customHeight="1" x14ac:dyDescent="0.2">
      <c r="B30" s="111" t="s">
        <v>122</v>
      </c>
    </row>
    <row r="31" spans="2:2" ht="24.95" customHeight="1" x14ac:dyDescent="0.2">
      <c r="B31" s="111" t="s">
        <v>123</v>
      </c>
    </row>
    <row r="32" spans="2:2" ht="24.95" customHeight="1" x14ac:dyDescent="0.2">
      <c r="B32" s="111" t="s">
        <v>124</v>
      </c>
    </row>
    <row r="33" spans="2:2" ht="24.95" customHeight="1" x14ac:dyDescent="0.2">
      <c r="B33" s="112" t="s">
        <v>125</v>
      </c>
    </row>
  </sheetData>
  <mergeCells count="3">
    <mergeCell ref="P2:Q2"/>
    <mergeCell ref="J2:N2"/>
    <mergeCell ref="S2:T2"/>
  </mergeCells>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1:P50"/>
  <sheetViews>
    <sheetView view="pageBreakPreview" zoomScale="55" zoomScaleNormal="55" zoomScaleSheetLayoutView="55" workbookViewId="0">
      <selection activeCell="C1" sqref="C1:C32"/>
    </sheetView>
  </sheetViews>
  <sheetFormatPr defaultColWidth="9.140625" defaultRowHeight="12.75" x14ac:dyDescent="0.2"/>
  <cols>
    <col min="2" max="2" width="47.85546875" customWidth="1"/>
    <col min="3" max="3" width="56" style="24" customWidth="1"/>
    <col min="4" max="4" width="5.42578125" customWidth="1"/>
    <col min="7" max="8" width="44" customWidth="1"/>
    <col min="9" max="9" width="10.28515625" customWidth="1"/>
    <col min="10" max="16" width="17.5703125" customWidth="1"/>
    <col min="17" max="18" width="10.28515625" customWidth="1"/>
  </cols>
  <sheetData>
    <row r="1" spans="2:16" ht="124.5" customHeight="1" x14ac:dyDescent="0.45">
      <c r="B1" s="47" t="s">
        <v>126</v>
      </c>
      <c r="C1" s="48" t="s">
        <v>39</v>
      </c>
      <c r="D1" s="37"/>
      <c r="E1" s="37"/>
      <c r="F1" s="37"/>
      <c r="G1" s="47" t="s">
        <v>50</v>
      </c>
      <c r="H1" s="47" t="s">
        <v>127</v>
      </c>
      <c r="I1" s="25"/>
      <c r="J1" s="26"/>
      <c r="K1" s="26"/>
      <c r="L1" s="158" t="s">
        <v>50</v>
      </c>
      <c r="M1" s="119"/>
      <c r="N1" s="119"/>
      <c r="O1" s="119"/>
      <c r="P1" s="120"/>
    </row>
    <row r="2" spans="2:16" ht="124.5" customHeight="1" thickBot="1" x14ac:dyDescent="0.5">
      <c r="B2" s="45" t="s">
        <v>128</v>
      </c>
      <c r="C2" s="39" t="s">
        <v>46</v>
      </c>
      <c r="D2" s="44"/>
      <c r="E2" s="44"/>
      <c r="F2" s="44"/>
      <c r="G2" s="46" t="s">
        <v>129</v>
      </c>
      <c r="H2" s="46" t="s">
        <v>130</v>
      </c>
      <c r="I2" s="25"/>
      <c r="J2" s="26"/>
      <c r="K2" s="27"/>
      <c r="L2" s="27">
        <v>1</v>
      </c>
      <c r="M2" s="27">
        <v>2</v>
      </c>
      <c r="N2" s="27">
        <v>3</v>
      </c>
      <c r="O2" s="27">
        <v>4</v>
      </c>
      <c r="P2" s="27">
        <v>5</v>
      </c>
    </row>
    <row r="3" spans="2:16" ht="124.5" customHeight="1" thickTop="1" thickBot="1" x14ac:dyDescent="0.5">
      <c r="B3" s="41" t="s">
        <v>131</v>
      </c>
      <c r="C3" s="39" t="s">
        <v>58</v>
      </c>
      <c r="D3" s="44"/>
      <c r="E3" s="44"/>
      <c r="F3" s="44"/>
      <c r="G3" s="42" t="s">
        <v>132</v>
      </c>
      <c r="H3" s="40" t="s">
        <v>133</v>
      </c>
      <c r="I3" s="25"/>
      <c r="J3" s="159" t="s">
        <v>55</v>
      </c>
      <c r="K3" s="27">
        <v>5</v>
      </c>
      <c r="L3" s="28">
        <v>5</v>
      </c>
      <c r="M3" s="29">
        <v>10</v>
      </c>
      <c r="N3" s="29">
        <v>15</v>
      </c>
      <c r="O3" s="30">
        <v>20</v>
      </c>
      <c r="P3" s="30">
        <v>25</v>
      </c>
    </row>
    <row r="4" spans="2:16" ht="124.5" customHeight="1" thickTop="1" thickBot="1" x14ac:dyDescent="0.5">
      <c r="B4" s="41" t="s">
        <v>134</v>
      </c>
      <c r="C4" s="39" t="s">
        <v>68</v>
      </c>
      <c r="D4" s="44"/>
      <c r="E4" s="44"/>
      <c r="F4" s="44"/>
      <c r="G4" s="43" t="s">
        <v>135</v>
      </c>
      <c r="H4" s="40" t="s">
        <v>136</v>
      </c>
      <c r="I4" s="25"/>
      <c r="J4" s="160"/>
      <c r="K4" s="27">
        <v>4</v>
      </c>
      <c r="L4" s="28">
        <v>4</v>
      </c>
      <c r="M4" s="28">
        <v>8</v>
      </c>
      <c r="N4" s="29">
        <v>12</v>
      </c>
      <c r="O4" s="29">
        <v>16</v>
      </c>
      <c r="P4" s="30">
        <v>20</v>
      </c>
    </row>
    <row r="5" spans="2:16" ht="124.5" customHeight="1" thickTop="1" thickBot="1" x14ac:dyDescent="0.5">
      <c r="B5" s="38" t="s">
        <v>137</v>
      </c>
      <c r="C5" s="39" t="s">
        <v>78</v>
      </c>
      <c r="D5" s="44"/>
      <c r="E5" s="44"/>
      <c r="F5" s="44"/>
      <c r="G5" s="42" t="s">
        <v>138</v>
      </c>
      <c r="H5" s="40" t="s">
        <v>139</v>
      </c>
      <c r="I5" s="25"/>
      <c r="J5" s="160"/>
      <c r="K5" s="27">
        <v>3</v>
      </c>
      <c r="L5" s="31">
        <v>3</v>
      </c>
      <c r="M5" s="28">
        <v>6</v>
      </c>
      <c r="N5" s="28">
        <v>9</v>
      </c>
      <c r="O5" s="29">
        <v>12</v>
      </c>
      <c r="P5" s="29">
        <v>15</v>
      </c>
    </row>
    <row r="6" spans="2:16" ht="124.5" customHeight="1" thickTop="1" x14ac:dyDescent="0.45">
      <c r="B6" s="41" t="s">
        <v>140</v>
      </c>
      <c r="C6" s="39" t="s">
        <v>88</v>
      </c>
      <c r="D6" s="44"/>
      <c r="E6" s="44"/>
      <c r="F6" s="44"/>
      <c r="G6" s="43" t="s">
        <v>141</v>
      </c>
      <c r="H6" s="40" t="s">
        <v>142</v>
      </c>
      <c r="I6" s="25"/>
      <c r="J6" s="160"/>
      <c r="K6" s="27">
        <v>2</v>
      </c>
      <c r="L6" s="31">
        <v>2</v>
      </c>
      <c r="M6" s="28">
        <v>4</v>
      </c>
      <c r="N6" s="28">
        <v>6</v>
      </c>
      <c r="O6" s="28">
        <v>8</v>
      </c>
      <c r="P6" s="29">
        <v>10</v>
      </c>
    </row>
    <row r="7" spans="2:16" ht="124.5" customHeight="1" x14ac:dyDescent="0.45">
      <c r="B7" s="38" t="s">
        <v>143</v>
      </c>
      <c r="C7" s="39" t="s">
        <v>95</v>
      </c>
      <c r="D7" s="44"/>
      <c r="E7" s="44"/>
      <c r="F7" s="44"/>
      <c r="G7" s="44"/>
      <c r="H7" s="44"/>
      <c r="I7" s="25"/>
      <c r="J7" s="161"/>
      <c r="K7" s="27">
        <v>1</v>
      </c>
      <c r="L7" s="31">
        <v>1</v>
      </c>
      <c r="M7" s="31">
        <v>2</v>
      </c>
      <c r="N7" s="31">
        <v>3</v>
      </c>
      <c r="O7" s="28">
        <v>4</v>
      </c>
      <c r="P7" s="28">
        <v>5</v>
      </c>
    </row>
    <row r="8" spans="2:16" ht="124.5" customHeight="1" x14ac:dyDescent="0.25">
      <c r="B8" s="41" t="s">
        <v>144</v>
      </c>
      <c r="C8" s="39" t="s">
        <v>101</v>
      </c>
      <c r="D8" s="44"/>
      <c r="E8" s="44"/>
      <c r="F8" s="44"/>
      <c r="G8" s="44"/>
      <c r="H8" s="44"/>
      <c r="I8" s="25"/>
      <c r="J8" s="25"/>
      <c r="K8" s="25"/>
      <c r="L8" s="25"/>
      <c r="M8" s="25"/>
      <c r="N8" s="25"/>
      <c r="O8" s="25"/>
      <c r="P8" s="25"/>
    </row>
    <row r="9" spans="2:16" ht="124.5" customHeight="1" thickBot="1" x14ac:dyDescent="0.3">
      <c r="B9" s="38" t="s">
        <v>145</v>
      </c>
      <c r="C9" s="39" t="s">
        <v>102</v>
      </c>
      <c r="D9" s="44"/>
      <c r="E9" s="44"/>
      <c r="F9" s="44"/>
      <c r="G9" s="44"/>
      <c r="H9" s="44"/>
      <c r="I9" s="25"/>
      <c r="J9" s="32" t="s">
        <v>14</v>
      </c>
      <c r="K9" s="155" t="s">
        <v>146</v>
      </c>
      <c r="L9" s="156"/>
      <c r="M9" s="156"/>
      <c r="N9" s="156"/>
      <c r="O9" s="156"/>
      <c r="P9" s="156"/>
    </row>
    <row r="10" spans="2:16" ht="124.5" customHeight="1" thickTop="1" x14ac:dyDescent="0.35">
      <c r="B10" s="41" t="s">
        <v>147</v>
      </c>
      <c r="C10" s="39" t="s">
        <v>103</v>
      </c>
      <c r="D10" s="44"/>
      <c r="E10" s="44"/>
      <c r="F10" s="44"/>
      <c r="G10" s="44"/>
      <c r="H10" s="44"/>
      <c r="I10" s="25"/>
      <c r="J10" s="33" t="s">
        <v>148</v>
      </c>
      <c r="K10" s="157" t="s">
        <v>149</v>
      </c>
      <c r="L10" s="119"/>
      <c r="M10" s="119"/>
      <c r="N10" s="119"/>
      <c r="O10" s="119"/>
      <c r="P10" s="120"/>
    </row>
    <row r="11" spans="2:16" ht="124.5" customHeight="1" x14ac:dyDescent="0.35">
      <c r="B11" s="38" t="s">
        <v>150</v>
      </c>
      <c r="C11" s="39" t="s">
        <v>104</v>
      </c>
      <c r="D11" s="44"/>
      <c r="E11" s="44"/>
      <c r="F11" s="44"/>
      <c r="G11" s="44"/>
      <c r="H11" s="44"/>
      <c r="I11" s="25"/>
      <c r="J11" s="34" t="s">
        <v>151</v>
      </c>
      <c r="K11" s="157" t="s">
        <v>152</v>
      </c>
      <c r="L11" s="119"/>
      <c r="M11" s="119"/>
      <c r="N11" s="119"/>
      <c r="O11" s="119"/>
      <c r="P11" s="120"/>
    </row>
    <row r="12" spans="2:16" ht="124.5" customHeight="1" x14ac:dyDescent="0.35">
      <c r="B12" s="41" t="s">
        <v>153</v>
      </c>
      <c r="C12" s="39" t="s">
        <v>105</v>
      </c>
      <c r="D12" s="44"/>
      <c r="E12" s="44"/>
      <c r="F12" s="44"/>
      <c r="G12" s="44"/>
      <c r="H12" s="44"/>
      <c r="I12" s="25"/>
      <c r="J12" s="35" t="s">
        <v>154</v>
      </c>
      <c r="K12" s="157" t="s">
        <v>155</v>
      </c>
      <c r="L12" s="119"/>
      <c r="M12" s="119"/>
      <c r="N12" s="119"/>
      <c r="O12" s="119"/>
      <c r="P12" s="120"/>
    </row>
    <row r="13" spans="2:16" ht="124.5" customHeight="1" x14ac:dyDescent="0.35">
      <c r="B13" s="38" t="s">
        <v>156</v>
      </c>
      <c r="C13" s="39" t="s">
        <v>106</v>
      </c>
      <c r="D13" s="44"/>
      <c r="E13" s="44"/>
      <c r="F13" s="44"/>
      <c r="G13" s="44"/>
      <c r="H13" s="44"/>
      <c r="I13" s="25"/>
      <c r="J13" s="36" t="s">
        <v>157</v>
      </c>
      <c r="K13" s="157" t="s">
        <v>158</v>
      </c>
      <c r="L13" s="119"/>
      <c r="M13" s="119"/>
      <c r="N13" s="119"/>
      <c r="O13" s="119"/>
      <c r="P13" s="120"/>
    </row>
    <row r="14" spans="2:16" ht="124.5" customHeight="1" x14ac:dyDescent="0.25">
      <c r="B14" s="38" t="s">
        <v>159</v>
      </c>
      <c r="C14" s="39" t="s">
        <v>107</v>
      </c>
      <c r="D14" s="44"/>
      <c r="E14" s="44"/>
      <c r="F14" s="44"/>
      <c r="G14" s="44"/>
      <c r="H14" s="44"/>
      <c r="I14" s="25"/>
      <c r="J14" s="25"/>
      <c r="K14" s="25"/>
      <c r="L14" s="25"/>
      <c r="M14" s="25"/>
      <c r="N14" s="25"/>
      <c r="O14" s="25"/>
      <c r="P14" s="25"/>
    </row>
    <row r="15" spans="2:16" ht="124.5" customHeight="1" x14ac:dyDescent="0.25">
      <c r="B15" s="38" t="s">
        <v>160</v>
      </c>
      <c r="C15" s="39" t="s">
        <v>108</v>
      </c>
      <c r="D15" s="44"/>
      <c r="E15" s="44"/>
      <c r="F15" s="44"/>
      <c r="G15" s="44"/>
      <c r="H15" s="44"/>
      <c r="I15" s="25"/>
      <c r="J15" s="25"/>
      <c r="K15" s="25"/>
      <c r="L15" s="25"/>
      <c r="M15" s="25"/>
      <c r="N15" s="25"/>
      <c r="O15" s="25"/>
      <c r="P15" s="25"/>
    </row>
    <row r="16" spans="2:16" ht="124.5" customHeight="1" x14ac:dyDescent="0.25">
      <c r="B16" s="38" t="s">
        <v>161</v>
      </c>
      <c r="C16" s="39" t="s">
        <v>109</v>
      </c>
      <c r="D16" s="44"/>
      <c r="E16" s="44"/>
      <c r="F16" s="44"/>
      <c r="G16" s="44"/>
      <c r="H16" s="44"/>
      <c r="I16" s="25"/>
      <c r="J16" s="25"/>
      <c r="K16" s="25"/>
      <c r="L16" s="25"/>
      <c r="M16" s="25"/>
      <c r="N16" s="25"/>
      <c r="O16" s="25"/>
      <c r="P16" s="25"/>
    </row>
    <row r="17" spans="2:16" ht="124.5" customHeight="1" x14ac:dyDescent="0.25">
      <c r="B17" s="38" t="s">
        <v>162</v>
      </c>
      <c r="C17" s="39" t="s">
        <v>110</v>
      </c>
      <c r="D17" s="44"/>
      <c r="E17" s="44"/>
      <c r="F17" s="44"/>
      <c r="G17" s="44"/>
      <c r="H17" s="44"/>
      <c r="I17" s="25"/>
      <c r="J17" s="25"/>
      <c r="K17" s="25"/>
      <c r="L17" s="25"/>
      <c r="M17" s="25"/>
      <c r="N17" s="25"/>
      <c r="O17" s="25"/>
      <c r="P17" s="25"/>
    </row>
    <row r="18" spans="2:16" ht="124.5" customHeight="1" x14ac:dyDescent="0.25">
      <c r="B18" s="38" t="s">
        <v>163</v>
      </c>
      <c r="C18" s="39" t="s">
        <v>111</v>
      </c>
      <c r="D18" s="44"/>
      <c r="E18" s="44"/>
      <c r="F18" s="44"/>
      <c r="G18" s="44"/>
      <c r="H18" s="44"/>
      <c r="I18" s="25"/>
      <c r="J18" s="25"/>
      <c r="K18" s="25"/>
      <c r="L18" s="25"/>
      <c r="M18" s="25"/>
      <c r="N18" s="25"/>
      <c r="O18" s="25"/>
      <c r="P18" s="25"/>
    </row>
    <row r="19" spans="2:16" ht="124.5" customHeight="1" x14ac:dyDescent="0.25">
      <c r="B19" s="38" t="s">
        <v>164</v>
      </c>
      <c r="C19" s="39" t="s">
        <v>112</v>
      </c>
      <c r="D19" s="44"/>
      <c r="E19" s="44"/>
      <c r="F19" s="44"/>
      <c r="G19" s="44"/>
      <c r="H19" s="44"/>
      <c r="I19" s="25"/>
      <c r="J19" s="25"/>
      <c r="K19" s="25"/>
      <c r="L19" s="25"/>
      <c r="M19" s="25"/>
      <c r="N19" s="25"/>
      <c r="O19" s="25"/>
      <c r="P19" s="25"/>
    </row>
    <row r="20" spans="2:16" ht="124.5" customHeight="1" x14ac:dyDescent="0.25">
      <c r="B20" s="38" t="s">
        <v>165</v>
      </c>
      <c r="C20" s="39" t="s">
        <v>113</v>
      </c>
      <c r="D20" s="44"/>
      <c r="E20" s="44"/>
      <c r="F20" s="44"/>
      <c r="G20" s="44"/>
      <c r="H20" s="44"/>
      <c r="I20" s="25"/>
      <c r="J20" s="25"/>
      <c r="K20" s="25"/>
      <c r="L20" s="25"/>
      <c r="M20" s="25"/>
      <c r="N20" s="25"/>
      <c r="O20" s="25"/>
      <c r="P20" s="25"/>
    </row>
    <row r="21" spans="2:16" ht="124.5" customHeight="1" x14ac:dyDescent="0.25">
      <c r="B21" s="41" t="s">
        <v>166</v>
      </c>
      <c r="C21" s="39" t="s">
        <v>114</v>
      </c>
      <c r="D21" s="44"/>
      <c r="E21" s="44"/>
      <c r="F21" s="44"/>
      <c r="G21" s="44"/>
      <c r="H21" s="44"/>
      <c r="I21" s="25"/>
      <c r="J21" s="25"/>
      <c r="K21" s="25"/>
      <c r="L21" s="25"/>
      <c r="M21" s="25"/>
      <c r="N21" s="25"/>
      <c r="O21" s="25"/>
      <c r="P21" s="25"/>
    </row>
    <row r="22" spans="2:16" ht="124.5" customHeight="1" x14ac:dyDescent="0.25">
      <c r="B22" s="38" t="s">
        <v>167</v>
      </c>
      <c r="C22" s="39" t="s">
        <v>115</v>
      </c>
      <c r="D22" s="44"/>
      <c r="E22" s="44"/>
      <c r="F22" s="44"/>
      <c r="G22" s="44"/>
      <c r="H22" s="44"/>
      <c r="I22" s="25"/>
      <c r="J22" s="25"/>
      <c r="K22" s="25"/>
      <c r="L22" s="25"/>
      <c r="M22" s="25"/>
      <c r="N22" s="25"/>
      <c r="O22" s="25"/>
      <c r="P22" s="25"/>
    </row>
    <row r="23" spans="2:16" ht="124.5" customHeight="1" x14ac:dyDescent="0.25">
      <c r="B23" s="41" t="s">
        <v>168</v>
      </c>
      <c r="C23" s="39" t="s">
        <v>116</v>
      </c>
      <c r="D23" s="44"/>
      <c r="E23" s="44"/>
      <c r="F23" s="44"/>
      <c r="G23" s="44"/>
      <c r="H23" s="44"/>
      <c r="I23" s="25"/>
      <c r="J23" s="25"/>
      <c r="K23" s="25"/>
      <c r="L23" s="25"/>
      <c r="M23" s="25"/>
      <c r="N23" s="25"/>
      <c r="O23" s="25"/>
      <c r="P23" s="25"/>
    </row>
    <row r="24" spans="2:16" ht="124.5" customHeight="1" x14ac:dyDescent="0.25">
      <c r="B24" s="38" t="s">
        <v>169</v>
      </c>
      <c r="C24" s="39" t="s">
        <v>117</v>
      </c>
      <c r="D24" s="44"/>
      <c r="E24" s="44"/>
      <c r="F24" s="44"/>
      <c r="G24" s="44"/>
      <c r="H24" s="44"/>
      <c r="I24" s="25"/>
      <c r="J24" s="25"/>
      <c r="K24" s="25"/>
      <c r="L24" s="25"/>
      <c r="M24" s="25"/>
      <c r="N24" s="25"/>
      <c r="O24" s="25"/>
      <c r="P24" s="25"/>
    </row>
    <row r="25" spans="2:16" ht="124.5" customHeight="1" x14ac:dyDescent="0.25">
      <c r="B25" s="38" t="s">
        <v>170</v>
      </c>
      <c r="C25" s="39" t="s">
        <v>118</v>
      </c>
      <c r="D25" s="44"/>
      <c r="E25" s="44"/>
      <c r="F25" s="44"/>
      <c r="G25" s="44"/>
      <c r="H25" s="44"/>
      <c r="I25" s="25"/>
      <c r="J25" s="25"/>
      <c r="K25" s="25"/>
      <c r="L25" s="25"/>
      <c r="M25" s="25"/>
      <c r="N25" s="25"/>
      <c r="O25" s="25"/>
      <c r="P25" s="25"/>
    </row>
    <row r="26" spans="2:16" ht="80.099999999999994" customHeight="1" x14ac:dyDescent="0.25">
      <c r="B26" s="38" t="s">
        <v>171</v>
      </c>
      <c r="C26" s="39" t="s">
        <v>119</v>
      </c>
      <c r="D26" s="44"/>
      <c r="E26" s="44"/>
      <c r="F26" s="44"/>
      <c r="G26" s="44"/>
      <c r="H26" s="44"/>
      <c r="I26" s="25"/>
      <c r="J26" s="25"/>
      <c r="K26" s="25"/>
      <c r="L26" s="25"/>
      <c r="M26" s="25"/>
      <c r="N26" s="25"/>
      <c r="O26" s="25"/>
      <c r="P26" s="25"/>
    </row>
    <row r="27" spans="2:16" ht="120" customHeight="1" x14ac:dyDescent="0.25">
      <c r="B27" s="41" t="s">
        <v>172</v>
      </c>
      <c r="C27" s="39" t="s">
        <v>120</v>
      </c>
      <c r="D27" s="44"/>
      <c r="E27" s="44"/>
      <c r="F27" s="44"/>
      <c r="G27" s="44"/>
      <c r="H27" s="44"/>
      <c r="I27" s="25"/>
      <c r="J27" s="25"/>
      <c r="K27" s="25"/>
      <c r="L27" s="25"/>
      <c r="M27" s="25"/>
      <c r="N27" s="25"/>
      <c r="O27" s="25"/>
      <c r="P27" s="25"/>
    </row>
    <row r="28" spans="2:16" ht="99.95" customHeight="1" x14ac:dyDescent="0.25">
      <c r="B28" s="38" t="s">
        <v>173</v>
      </c>
      <c r="C28" s="39" t="s">
        <v>121</v>
      </c>
      <c r="D28" s="44"/>
      <c r="E28" s="44"/>
      <c r="F28" s="44"/>
      <c r="G28" s="44"/>
      <c r="H28" s="44"/>
      <c r="I28" s="25"/>
      <c r="J28" s="25"/>
      <c r="K28" s="25"/>
      <c r="L28" s="25"/>
      <c r="M28" s="25"/>
      <c r="N28" s="25"/>
      <c r="O28" s="25"/>
      <c r="P28" s="25"/>
    </row>
    <row r="29" spans="2:16" ht="120" customHeight="1" x14ac:dyDescent="0.25">
      <c r="B29" s="38" t="s">
        <v>174</v>
      </c>
      <c r="C29" s="39" t="s">
        <v>122</v>
      </c>
      <c r="D29" s="44"/>
      <c r="E29" s="44"/>
      <c r="F29" s="44"/>
      <c r="G29" s="44"/>
      <c r="H29" s="44"/>
      <c r="I29" s="25"/>
      <c r="J29" s="25"/>
      <c r="K29" s="25"/>
      <c r="L29" s="25"/>
      <c r="M29" s="25"/>
      <c r="N29" s="25"/>
      <c r="O29" s="25"/>
      <c r="P29" s="25"/>
    </row>
    <row r="30" spans="2:16" ht="60" customHeight="1" x14ac:dyDescent="0.25">
      <c r="B30" s="38" t="s">
        <v>175</v>
      </c>
      <c r="C30" s="39" t="s">
        <v>123</v>
      </c>
      <c r="D30" s="44"/>
      <c r="E30" s="44"/>
      <c r="F30" s="44"/>
      <c r="G30" s="44"/>
      <c r="H30" s="44"/>
      <c r="I30" s="25"/>
      <c r="J30" s="25"/>
      <c r="K30" s="25"/>
      <c r="L30" s="25"/>
      <c r="M30" s="25"/>
      <c r="N30" s="25"/>
      <c r="O30" s="25"/>
      <c r="P30" s="25"/>
    </row>
    <row r="31" spans="2:16" ht="60" customHeight="1" x14ac:dyDescent="0.25">
      <c r="B31" s="41" t="s">
        <v>176</v>
      </c>
      <c r="C31" s="39" t="s">
        <v>124</v>
      </c>
      <c r="D31" s="44"/>
      <c r="E31" s="44"/>
      <c r="F31" s="44"/>
      <c r="G31" s="44"/>
      <c r="H31" s="44"/>
      <c r="I31" s="25"/>
      <c r="J31" s="25"/>
      <c r="K31" s="25"/>
      <c r="L31" s="25"/>
      <c r="M31" s="25"/>
      <c r="N31" s="25"/>
      <c r="O31" s="25"/>
      <c r="P31" s="25"/>
    </row>
    <row r="32" spans="2:16" ht="60" customHeight="1" x14ac:dyDescent="0.25">
      <c r="B32" s="38" t="s">
        <v>177</v>
      </c>
      <c r="C32" s="39" t="s">
        <v>125</v>
      </c>
      <c r="D32" s="44"/>
      <c r="E32" s="44"/>
      <c r="F32" s="44"/>
      <c r="G32" s="44"/>
      <c r="H32" s="44"/>
      <c r="I32" s="25"/>
      <c r="J32" s="25"/>
      <c r="K32" s="25"/>
      <c r="L32" s="25"/>
      <c r="M32" s="25"/>
      <c r="N32" s="25"/>
      <c r="O32" s="25"/>
      <c r="P32" s="25"/>
    </row>
    <row r="33" spans="2:16" ht="20.100000000000001" customHeight="1" x14ac:dyDescent="0.25">
      <c r="B33" s="41" t="s">
        <v>178</v>
      </c>
      <c r="C33" s="39"/>
      <c r="D33" s="44"/>
      <c r="E33" s="44"/>
      <c r="F33" s="44"/>
      <c r="G33" s="44"/>
      <c r="H33" s="44"/>
      <c r="I33" s="25"/>
      <c r="J33" s="25"/>
      <c r="K33" s="25"/>
      <c r="L33" s="25"/>
      <c r="M33" s="25"/>
      <c r="N33" s="25"/>
      <c r="O33" s="25"/>
      <c r="P33" s="25"/>
    </row>
    <row r="34" spans="2:16" ht="20.100000000000001" customHeight="1" x14ac:dyDescent="0.25">
      <c r="B34" s="38" t="s">
        <v>179</v>
      </c>
      <c r="C34" s="39"/>
      <c r="D34" s="44"/>
      <c r="E34" s="44"/>
      <c r="F34" s="44"/>
      <c r="G34" s="44"/>
      <c r="H34" s="44"/>
      <c r="I34" s="25"/>
      <c r="J34" s="25"/>
      <c r="K34" s="25"/>
      <c r="L34" s="25"/>
      <c r="M34" s="25"/>
      <c r="N34" s="25"/>
      <c r="O34" s="25"/>
      <c r="P34" s="25"/>
    </row>
    <row r="35" spans="2:16" ht="20.100000000000001" customHeight="1" x14ac:dyDescent="0.25">
      <c r="B35" s="41" t="s">
        <v>180</v>
      </c>
      <c r="C35" s="39"/>
      <c r="D35" s="44"/>
      <c r="E35" s="44"/>
      <c r="F35" s="44"/>
      <c r="G35" s="44"/>
      <c r="H35" s="44"/>
      <c r="I35" s="25"/>
      <c r="J35" s="25"/>
      <c r="K35" s="25"/>
      <c r="L35" s="25"/>
      <c r="M35" s="25"/>
      <c r="N35" s="25"/>
      <c r="O35" s="25"/>
      <c r="P35" s="25"/>
    </row>
    <row r="36" spans="2:16" ht="20.100000000000001" customHeight="1" x14ac:dyDescent="0.25">
      <c r="B36" s="38" t="s">
        <v>181</v>
      </c>
      <c r="C36" s="39"/>
      <c r="D36" s="44"/>
      <c r="E36" s="44"/>
      <c r="F36" s="44"/>
      <c r="G36" s="44"/>
      <c r="H36" s="44"/>
      <c r="I36" s="25"/>
      <c r="J36" s="25"/>
      <c r="K36" s="25"/>
      <c r="L36" s="25"/>
      <c r="M36" s="25"/>
      <c r="N36" s="25"/>
      <c r="O36" s="25"/>
      <c r="P36" s="25"/>
    </row>
    <row r="37" spans="2:16" ht="20.100000000000001" customHeight="1" x14ac:dyDescent="0.25">
      <c r="B37" s="41" t="s">
        <v>182</v>
      </c>
      <c r="C37" s="39"/>
      <c r="D37" s="44"/>
      <c r="E37" s="44"/>
      <c r="F37" s="44"/>
      <c r="G37" s="44"/>
      <c r="H37" s="44"/>
      <c r="I37" s="25"/>
      <c r="J37" s="25"/>
      <c r="K37" s="25"/>
      <c r="L37" s="25"/>
      <c r="M37" s="25"/>
      <c r="N37" s="25"/>
      <c r="O37" s="25"/>
      <c r="P37" s="25"/>
    </row>
    <row r="38" spans="2:16" ht="20.100000000000001" customHeight="1" x14ac:dyDescent="0.25">
      <c r="B38" s="41" t="s">
        <v>183</v>
      </c>
      <c r="C38" s="39"/>
      <c r="D38" s="44"/>
      <c r="E38" s="44"/>
      <c r="F38" s="44"/>
      <c r="G38" s="44"/>
      <c r="H38" s="44"/>
      <c r="I38" s="25"/>
      <c r="J38" s="25"/>
      <c r="K38" s="25"/>
      <c r="L38" s="25"/>
      <c r="M38" s="25"/>
      <c r="N38" s="25"/>
      <c r="O38" s="25"/>
      <c r="P38" s="25"/>
    </row>
    <row r="39" spans="2:16" ht="20.100000000000001" customHeight="1" x14ac:dyDescent="0.25">
      <c r="B39" s="38" t="s">
        <v>184</v>
      </c>
      <c r="C39" s="39"/>
      <c r="D39" s="44"/>
      <c r="E39" s="44"/>
      <c r="F39" s="44"/>
      <c r="G39" s="44"/>
      <c r="H39" s="44"/>
      <c r="I39" s="25"/>
      <c r="J39" s="25"/>
      <c r="K39" s="25"/>
      <c r="L39" s="25"/>
      <c r="M39" s="25"/>
      <c r="N39" s="25"/>
      <c r="O39" s="25"/>
      <c r="P39" s="25"/>
    </row>
    <row r="40" spans="2:16" ht="20.100000000000001" customHeight="1" x14ac:dyDescent="0.25">
      <c r="B40" s="41" t="s">
        <v>185</v>
      </c>
      <c r="C40" s="39"/>
      <c r="D40" s="44"/>
      <c r="E40" s="44"/>
      <c r="F40" s="44"/>
      <c r="G40" s="44"/>
      <c r="H40" s="44"/>
      <c r="I40" s="25"/>
      <c r="J40" s="25"/>
      <c r="K40" s="25"/>
      <c r="L40" s="25"/>
      <c r="M40" s="25"/>
      <c r="N40" s="25"/>
      <c r="O40" s="25"/>
      <c r="P40" s="25"/>
    </row>
    <row r="41" spans="2:16" ht="20.100000000000001" customHeight="1" x14ac:dyDescent="0.25">
      <c r="B41" s="38" t="s">
        <v>186</v>
      </c>
      <c r="C41" s="39"/>
      <c r="D41" s="44"/>
      <c r="E41" s="44"/>
      <c r="F41" s="44"/>
      <c r="G41" s="44"/>
      <c r="H41" s="44"/>
      <c r="I41" s="25"/>
      <c r="J41" s="25"/>
      <c r="K41" s="25"/>
      <c r="L41" s="25"/>
      <c r="M41" s="25"/>
      <c r="N41" s="25"/>
      <c r="O41" s="25"/>
      <c r="P41" s="25"/>
    </row>
    <row r="42" spans="2:16" ht="20.100000000000001" customHeight="1" x14ac:dyDescent="0.25">
      <c r="B42" s="41" t="s">
        <v>187</v>
      </c>
      <c r="C42" s="39"/>
      <c r="D42" s="44"/>
      <c r="E42" s="44"/>
      <c r="F42" s="44"/>
      <c r="G42" s="44"/>
      <c r="H42" s="44"/>
      <c r="I42" s="25"/>
      <c r="J42" s="25"/>
      <c r="K42" s="25"/>
      <c r="L42" s="25"/>
      <c r="M42" s="25"/>
      <c r="N42" s="25"/>
      <c r="O42" s="25"/>
      <c r="P42" s="25"/>
    </row>
    <row r="43" spans="2:16" ht="20.100000000000001" customHeight="1" x14ac:dyDescent="0.25">
      <c r="B43" s="38" t="s">
        <v>188</v>
      </c>
      <c r="C43" s="39"/>
      <c r="D43" s="44"/>
      <c r="E43" s="44"/>
      <c r="F43" s="44"/>
      <c r="G43" s="44"/>
      <c r="H43" s="44"/>
      <c r="I43" s="25"/>
      <c r="J43" s="25"/>
      <c r="K43" s="25"/>
      <c r="L43" s="25"/>
      <c r="M43" s="25"/>
      <c r="N43" s="25"/>
      <c r="O43" s="25"/>
      <c r="P43" s="25"/>
    </row>
    <row r="44" spans="2:16" ht="20.100000000000001" customHeight="1" x14ac:dyDescent="0.25">
      <c r="B44" s="41" t="s">
        <v>189</v>
      </c>
      <c r="C44" s="39"/>
      <c r="D44" s="44"/>
      <c r="E44" s="44"/>
      <c r="F44" s="44"/>
      <c r="G44" s="44"/>
      <c r="H44" s="44"/>
      <c r="I44" s="25"/>
      <c r="J44" s="25"/>
      <c r="K44" s="25"/>
      <c r="L44" s="25"/>
      <c r="M44" s="25"/>
      <c r="N44" s="25"/>
      <c r="O44" s="25"/>
      <c r="P44" s="25"/>
    </row>
    <row r="45" spans="2:16" ht="20.100000000000001" customHeight="1" x14ac:dyDescent="0.25">
      <c r="B45" s="38" t="s">
        <v>190</v>
      </c>
      <c r="C45" s="39"/>
      <c r="D45" s="44"/>
      <c r="E45" s="44"/>
      <c r="F45" s="44"/>
      <c r="G45" s="44"/>
      <c r="H45" s="44"/>
      <c r="I45" s="25"/>
      <c r="J45" s="25"/>
      <c r="K45" s="25"/>
      <c r="L45" s="25"/>
      <c r="M45" s="25"/>
      <c r="N45" s="25"/>
      <c r="O45" s="25"/>
      <c r="P45" s="25"/>
    </row>
    <row r="46" spans="2:16" ht="20.100000000000001" customHeight="1" x14ac:dyDescent="0.25">
      <c r="B46" s="41" t="s">
        <v>191</v>
      </c>
      <c r="C46" s="39"/>
      <c r="D46" s="44"/>
      <c r="E46" s="44"/>
      <c r="F46" s="44"/>
      <c r="G46" s="44"/>
      <c r="H46" s="44"/>
      <c r="I46" s="25"/>
      <c r="J46" s="25"/>
      <c r="K46" s="25"/>
      <c r="L46" s="25"/>
      <c r="M46" s="25"/>
      <c r="N46" s="25"/>
      <c r="O46" s="25"/>
      <c r="P46" s="25"/>
    </row>
    <row r="47" spans="2:16" ht="20.100000000000001" customHeight="1" x14ac:dyDescent="0.25">
      <c r="B47" s="38" t="s">
        <v>192</v>
      </c>
      <c r="C47" s="39"/>
      <c r="D47" s="44"/>
      <c r="E47" s="44"/>
      <c r="F47" s="44"/>
      <c r="G47" s="44"/>
      <c r="H47" s="44"/>
      <c r="I47" s="25"/>
      <c r="J47" s="25"/>
      <c r="K47" s="25"/>
      <c r="L47" s="25"/>
      <c r="M47" s="25"/>
      <c r="N47" s="25"/>
      <c r="O47" s="25"/>
      <c r="P47" s="25"/>
    </row>
    <row r="48" spans="2:16" ht="20.100000000000001" customHeight="1" x14ac:dyDescent="0.25">
      <c r="B48" s="41" t="s">
        <v>193</v>
      </c>
      <c r="C48" s="39"/>
      <c r="D48" s="44"/>
      <c r="E48" s="44"/>
      <c r="F48" s="44"/>
      <c r="G48" s="44"/>
      <c r="H48" s="44"/>
      <c r="I48" s="25"/>
      <c r="J48" s="25"/>
      <c r="K48" s="25"/>
      <c r="L48" s="25"/>
      <c r="M48" s="25"/>
      <c r="N48" s="25"/>
      <c r="O48" s="25"/>
      <c r="P48" s="25"/>
    </row>
    <row r="49" spans="2:16" ht="20.100000000000001" customHeight="1" x14ac:dyDescent="0.25">
      <c r="B49" s="38" t="s">
        <v>194</v>
      </c>
      <c r="C49" s="39"/>
      <c r="D49" s="44"/>
      <c r="E49" s="44"/>
      <c r="F49" s="44"/>
      <c r="G49" s="44"/>
      <c r="H49" s="44"/>
      <c r="I49" s="25"/>
      <c r="J49" s="25"/>
      <c r="K49" s="25"/>
      <c r="L49" s="25"/>
      <c r="M49" s="25"/>
      <c r="N49" s="25"/>
      <c r="O49" s="25"/>
      <c r="P49" s="25"/>
    </row>
    <row r="50" spans="2:16" ht="17.45" customHeight="1" x14ac:dyDescent="0.25">
      <c r="B50" s="25"/>
      <c r="C50" s="25"/>
      <c r="D50" s="25"/>
      <c r="E50" s="25"/>
      <c r="F50" s="25"/>
      <c r="G50" s="25"/>
      <c r="H50" s="25"/>
      <c r="I50" s="25"/>
      <c r="J50" s="25"/>
      <c r="K50" s="25"/>
      <c r="L50" s="25"/>
      <c r="M50" s="25"/>
      <c r="N50" s="25"/>
      <c r="O50" s="25"/>
      <c r="P50" s="25"/>
    </row>
  </sheetData>
  <mergeCells count="7">
    <mergeCell ref="K9:P9"/>
    <mergeCell ref="K10:P10"/>
    <mergeCell ref="L1:P1"/>
    <mergeCell ref="K13:P13"/>
    <mergeCell ref="J3:J7"/>
    <mergeCell ref="K11:P11"/>
    <mergeCell ref="K12:P12"/>
  </mergeCells>
  <pageMargins left="0.7" right="0.7" top="0.75" bottom="0.75" header="0.3" footer="0.3"/>
  <pageSetup orientation="portrait" r:id="rId1"/>
  <headerFooter>
    <oddFooter>&amp;L16-HS80-8000-00019 Rev B / 16-HS20-8000-00037&amp;REL TIEMPO DE RETENCION DE ESTE REGISTRO ES DE  5 AÑOS EN EL PUNTO DE ORIGEN 
ARCHIVO MUERTO: NO APLICA DISPOSICION FINAL: DESECHAR</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I117"/>
  <sheetViews>
    <sheetView view="pageBreakPreview" zoomScale="60" zoomScaleNormal="100" workbookViewId="0">
      <pane ySplit="1" topLeftCell="A63" activePane="bottomLeft" state="frozen"/>
      <selection pane="bottomLeft" activeCell="AA94" sqref="AA94"/>
    </sheetView>
  </sheetViews>
  <sheetFormatPr defaultColWidth="8.7109375" defaultRowHeight="15" x14ac:dyDescent="0.25"/>
  <cols>
    <col min="1" max="1" width="22.42578125" style="53" bestFit="1" customWidth="1"/>
    <col min="2" max="2" width="24.140625" style="53" bestFit="1" customWidth="1"/>
    <col min="3" max="3" width="21.85546875" style="53" hidden="1" customWidth="1"/>
    <col min="4" max="4" width="12.5703125" style="53" hidden="1" customWidth="1"/>
    <col min="5" max="5" width="79.7109375" style="53" hidden="1" customWidth="1"/>
    <col min="6" max="6" width="83.140625" style="53" hidden="1" customWidth="1"/>
    <col min="7" max="9" width="8.7109375" style="53" customWidth="1"/>
    <col min="10" max="16384" width="8.7109375" style="53"/>
  </cols>
  <sheetData>
    <row r="1" spans="1:6" x14ac:dyDescent="0.25">
      <c r="A1" s="54" t="s">
        <v>195</v>
      </c>
      <c r="B1" s="54" t="s">
        <v>196</v>
      </c>
      <c r="C1" s="54" t="s">
        <v>15</v>
      </c>
      <c r="D1" s="54" t="s">
        <v>197</v>
      </c>
      <c r="E1" s="54" t="s">
        <v>198</v>
      </c>
      <c r="F1" s="54" t="s">
        <v>199</v>
      </c>
    </row>
    <row r="2" spans="1:6" x14ac:dyDescent="0.25">
      <c r="A2" s="114" t="s">
        <v>200</v>
      </c>
      <c r="B2" s="114" t="s">
        <v>201</v>
      </c>
      <c r="C2" s="114" t="s">
        <v>202</v>
      </c>
      <c r="D2" s="114">
        <v>1</v>
      </c>
      <c r="E2" s="114" t="s">
        <v>203</v>
      </c>
      <c r="F2" s="114" t="s">
        <v>204</v>
      </c>
    </row>
    <row r="3" spans="1:6" x14ac:dyDescent="0.25">
      <c r="A3" s="114" t="s">
        <v>200</v>
      </c>
      <c r="B3" s="114" t="s">
        <v>205</v>
      </c>
      <c r="C3" s="114" t="s">
        <v>206</v>
      </c>
      <c r="D3" s="114">
        <v>5</v>
      </c>
      <c r="E3" s="114" t="s">
        <v>207</v>
      </c>
      <c r="F3" s="114" t="s">
        <v>208</v>
      </c>
    </row>
    <row r="4" spans="1:6" x14ac:dyDescent="0.25">
      <c r="A4" s="114" t="s">
        <v>200</v>
      </c>
      <c r="B4" s="114" t="s">
        <v>209</v>
      </c>
      <c r="C4" s="114" t="s">
        <v>210</v>
      </c>
      <c r="D4" s="114">
        <v>4</v>
      </c>
      <c r="E4" s="114" t="s">
        <v>211</v>
      </c>
      <c r="F4" s="114" t="s">
        <v>212</v>
      </c>
    </row>
    <row r="5" spans="1:6" x14ac:dyDescent="0.25">
      <c r="A5" s="114" t="s">
        <v>200</v>
      </c>
      <c r="B5" s="114" t="s">
        <v>206</v>
      </c>
      <c r="C5" s="114" t="s">
        <v>213</v>
      </c>
      <c r="D5" s="114">
        <v>5</v>
      </c>
      <c r="E5" s="114" t="s">
        <v>214</v>
      </c>
      <c r="F5" s="114" t="s">
        <v>215</v>
      </c>
    </row>
    <row r="6" spans="1:6" x14ac:dyDescent="0.25">
      <c r="A6" s="114" t="s">
        <v>200</v>
      </c>
      <c r="B6" s="114" t="s">
        <v>216</v>
      </c>
      <c r="C6" s="114" t="s">
        <v>217</v>
      </c>
      <c r="D6" s="114">
        <v>4</v>
      </c>
      <c r="E6" s="114" t="s">
        <v>218</v>
      </c>
      <c r="F6" s="114" t="s">
        <v>215</v>
      </c>
    </row>
    <row r="7" spans="1:6" x14ac:dyDescent="0.25">
      <c r="A7" s="114" t="s">
        <v>200</v>
      </c>
      <c r="B7" s="114" t="s">
        <v>219</v>
      </c>
      <c r="C7" s="114" t="s">
        <v>220</v>
      </c>
      <c r="D7" s="114">
        <v>1</v>
      </c>
      <c r="E7" s="114" t="s">
        <v>221</v>
      </c>
      <c r="F7" s="114" t="s">
        <v>215</v>
      </c>
    </row>
    <row r="8" spans="1:6" x14ac:dyDescent="0.25">
      <c r="A8" s="114" t="s">
        <v>200</v>
      </c>
      <c r="B8" s="114" t="s">
        <v>222</v>
      </c>
      <c r="C8" s="114" t="s">
        <v>223</v>
      </c>
      <c r="D8" s="114">
        <v>3</v>
      </c>
      <c r="E8" s="114" t="s">
        <v>224</v>
      </c>
      <c r="F8" s="114" t="s">
        <v>215</v>
      </c>
    </row>
    <row r="9" spans="1:6" x14ac:dyDescent="0.25">
      <c r="A9" s="114" t="s">
        <v>200</v>
      </c>
      <c r="B9" s="114" t="s">
        <v>225</v>
      </c>
      <c r="C9" s="114" t="s">
        <v>226</v>
      </c>
      <c r="D9" s="114">
        <v>5</v>
      </c>
      <c r="E9" s="114" t="s">
        <v>227</v>
      </c>
      <c r="F9" s="114" t="s">
        <v>208</v>
      </c>
    </row>
    <row r="10" spans="1:6" x14ac:dyDescent="0.25">
      <c r="A10" s="114" t="s">
        <v>200</v>
      </c>
      <c r="B10" s="114" t="s">
        <v>228</v>
      </c>
      <c r="C10" s="114" t="s">
        <v>229</v>
      </c>
      <c r="D10" s="114">
        <v>4</v>
      </c>
      <c r="E10" s="114" t="s">
        <v>230</v>
      </c>
      <c r="F10" s="114" t="s">
        <v>215</v>
      </c>
    </row>
    <row r="11" spans="1:6" x14ac:dyDescent="0.25">
      <c r="A11" s="114" t="s">
        <v>200</v>
      </c>
      <c r="B11" s="114" t="s">
        <v>231</v>
      </c>
      <c r="C11" s="114" t="s">
        <v>232</v>
      </c>
      <c r="D11" s="114">
        <v>2</v>
      </c>
      <c r="E11" s="114" t="s">
        <v>233</v>
      </c>
      <c r="F11" s="114" t="s">
        <v>234</v>
      </c>
    </row>
    <row r="12" spans="1:6" x14ac:dyDescent="0.25">
      <c r="A12" s="114" t="s">
        <v>200</v>
      </c>
      <c r="B12" s="114" t="s">
        <v>172</v>
      </c>
      <c r="C12" s="114" t="s">
        <v>235</v>
      </c>
      <c r="D12" s="114">
        <v>3</v>
      </c>
      <c r="E12" s="114" t="s">
        <v>236</v>
      </c>
      <c r="F12" s="114" t="s">
        <v>237</v>
      </c>
    </row>
    <row r="13" spans="1:6" x14ac:dyDescent="0.25">
      <c r="A13" s="114" t="s">
        <v>200</v>
      </c>
      <c r="B13" s="114" t="s">
        <v>238</v>
      </c>
      <c r="C13" s="114" t="s">
        <v>239</v>
      </c>
      <c r="D13" s="114">
        <v>2</v>
      </c>
      <c r="E13" s="114" t="s">
        <v>240</v>
      </c>
      <c r="F13" s="114" t="s">
        <v>241</v>
      </c>
    </row>
    <row r="14" spans="1:6" x14ac:dyDescent="0.25">
      <c r="A14" s="114" t="s">
        <v>200</v>
      </c>
      <c r="B14" s="114" t="s">
        <v>242</v>
      </c>
      <c r="C14" s="114" t="s">
        <v>243</v>
      </c>
      <c r="D14" s="114">
        <v>5</v>
      </c>
      <c r="E14" s="114" t="s">
        <v>244</v>
      </c>
      <c r="F14" s="114" t="s">
        <v>245</v>
      </c>
    </row>
    <row r="15" spans="1:6" x14ac:dyDescent="0.25">
      <c r="A15" s="114" t="s">
        <v>200</v>
      </c>
      <c r="B15" s="114" t="s">
        <v>246</v>
      </c>
      <c r="C15" s="114" t="s">
        <v>247</v>
      </c>
      <c r="D15" s="114">
        <v>3</v>
      </c>
      <c r="E15" s="114" t="s">
        <v>248</v>
      </c>
      <c r="F15" s="114" t="s">
        <v>245</v>
      </c>
    </row>
    <row r="16" spans="1:6" x14ac:dyDescent="0.25">
      <c r="A16" s="114" t="s">
        <v>200</v>
      </c>
      <c r="B16" s="114" t="s">
        <v>249</v>
      </c>
      <c r="C16" s="114" t="s">
        <v>250</v>
      </c>
      <c r="D16" s="114">
        <v>5</v>
      </c>
      <c r="E16" s="114" t="s">
        <v>251</v>
      </c>
      <c r="F16" s="114" t="s">
        <v>252</v>
      </c>
    </row>
    <row r="17" spans="1:6" x14ac:dyDescent="0.25">
      <c r="A17" s="114" t="s">
        <v>200</v>
      </c>
      <c r="B17" s="114" t="s">
        <v>253</v>
      </c>
      <c r="C17" s="114" t="s">
        <v>254</v>
      </c>
      <c r="D17" s="114">
        <v>4</v>
      </c>
      <c r="E17" s="114" t="s">
        <v>255</v>
      </c>
      <c r="F17" s="114" t="s">
        <v>215</v>
      </c>
    </row>
    <row r="18" spans="1:6" x14ac:dyDescent="0.25">
      <c r="A18" s="114" t="s">
        <v>200</v>
      </c>
      <c r="B18" s="114" t="s">
        <v>256</v>
      </c>
      <c r="C18" s="114" t="s">
        <v>257</v>
      </c>
      <c r="D18" s="114">
        <v>4</v>
      </c>
      <c r="E18" s="114" t="s">
        <v>258</v>
      </c>
      <c r="F18" s="114" t="s">
        <v>215</v>
      </c>
    </row>
    <row r="19" spans="1:6" x14ac:dyDescent="0.25">
      <c r="A19" s="114" t="s">
        <v>200</v>
      </c>
      <c r="B19" s="114" t="s">
        <v>259</v>
      </c>
      <c r="C19" s="114" t="s">
        <v>217</v>
      </c>
      <c r="D19" s="114">
        <v>4</v>
      </c>
      <c r="E19" s="114" t="s">
        <v>260</v>
      </c>
      <c r="F19" s="114" t="s">
        <v>215</v>
      </c>
    </row>
    <row r="20" spans="1:6" x14ac:dyDescent="0.25">
      <c r="A20" s="114" t="s">
        <v>261</v>
      </c>
      <c r="B20" s="114" t="s">
        <v>262</v>
      </c>
      <c r="C20" s="114" t="s">
        <v>263</v>
      </c>
      <c r="D20" s="114">
        <v>5</v>
      </c>
      <c r="E20" s="114" t="s">
        <v>264</v>
      </c>
      <c r="F20" s="114" t="s">
        <v>212</v>
      </c>
    </row>
    <row r="21" spans="1:6" x14ac:dyDescent="0.25">
      <c r="A21" s="114" t="s">
        <v>261</v>
      </c>
      <c r="B21" s="114" t="s">
        <v>265</v>
      </c>
      <c r="C21" s="114" t="s">
        <v>266</v>
      </c>
      <c r="D21" s="114">
        <v>2</v>
      </c>
      <c r="E21" s="114" t="s">
        <v>267</v>
      </c>
      <c r="F21" s="114" t="s">
        <v>215</v>
      </c>
    </row>
    <row r="22" spans="1:6" x14ac:dyDescent="0.25">
      <c r="A22" s="114" t="s">
        <v>261</v>
      </c>
      <c r="B22" s="114" t="s">
        <v>268</v>
      </c>
      <c r="C22" s="114" t="s">
        <v>269</v>
      </c>
      <c r="D22" s="114">
        <v>2</v>
      </c>
      <c r="E22" s="114" t="s">
        <v>270</v>
      </c>
      <c r="F22" s="114" t="s">
        <v>215</v>
      </c>
    </row>
    <row r="23" spans="1:6" x14ac:dyDescent="0.25">
      <c r="A23" s="114" t="s">
        <v>261</v>
      </c>
      <c r="B23" s="114" t="s">
        <v>271</v>
      </c>
      <c r="C23" s="114" t="s">
        <v>272</v>
      </c>
      <c r="D23" s="114">
        <v>1</v>
      </c>
      <c r="E23" s="114" t="s">
        <v>273</v>
      </c>
      <c r="F23" s="114" t="s">
        <v>208</v>
      </c>
    </row>
    <row r="24" spans="1:6" x14ac:dyDescent="0.25">
      <c r="A24" s="114" t="s">
        <v>261</v>
      </c>
      <c r="B24" s="114" t="s">
        <v>274</v>
      </c>
      <c r="C24" s="114" t="s">
        <v>275</v>
      </c>
      <c r="D24" s="114">
        <v>5</v>
      </c>
      <c r="E24" s="114" t="s">
        <v>276</v>
      </c>
      <c r="F24" s="114" t="s">
        <v>277</v>
      </c>
    </row>
    <row r="25" spans="1:6" x14ac:dyDescent="0.25">
      <c r="A25" s="114" t="s">
        <v>261</v>
      </c>
      <c r="B25" s="114" t="s">
        <v>278</v>
      </c>
      <c r="C25" s="114" t="s">
        <v>279</v>
      </c>
      <c r="D25" s="114">
        <v>5</v>
      </c>
      <c r="E25" s="114" t="s">
        <v>280</v>
      </c>
      <c r="F25" s="114" t="s">
        <v>212</v>
      </c>
    </row>
    <row r="26" spans="1:6" x14ac:dyDescent="0.25">
      <c r="A26" s="114" t="s">
        <v>261</v>
      </c>
      <c r="B26" s="114" t="s">
        <v>281</v>
      </c>
      <c r="C26" s="114" t="s">
        <v>206</v>
      </c>
      <c r="D26" s="114">
        <v>5</v>
      </c>
      <c r="E26" s="114" t="s">
        <v>282</v>
      </c>
      <c r="F26" s="114" t="s">
        <v>208</v>
      </c>
    </row>
    <row r="27" spans="1:6" x14ac:dyDescent="0.25">
      <c r="A27" s="114" t="s">
        <v>261</v>
      </c>
      <c r="B27" s="114" t="s">
        <v>283</v>
      </c>
      <c r="C27" s="114" t="s">
        <v>284</v>
      </c>
      <c r="D27" s="114">
        <v>5</v>
      </c>
      <c r="E27" s="114" t="s">
        <v>285</v>
      </c>
      <c r="F27" s="114" t="s">
        <v>286</v>
      </c>
    </row>
    <row r="28" spans="1:6" x14ac:dyDescent="0.25">
      <c r="A28" s="114" t="s">
        <v>261</v>
      </c>
      <c r="B28" s="114" t="s">
        <v>287</v>
      </c>
      <c r="C28" s="114" t="s">
        <v>288</v>
      </c>
      <c r="D28" s="114">
        <v>4</v>
      </c>
      <c r="E28" s="114" t="s">
        <v>289</v>
      </c>
      <c r="F28" s="114" t="s">
        <v>286</v>
      </c>
    </row>
    <row r="29" spans="1:6" x14ac:dyDescent="0.25">
      <c r="A29" s="114" t="s">
        <v>261</v>
      </c>
      <c r="B29" s="114" t="s">
        <v>290</v>
      </c>
      <c r="C29" s="114" t="s">
        <v>291</v>
      </c>
      <c r="D29" s="114">
        <v>2</v>
      </c>
      <c r="E29" s="114" t="s">
        <v>292</v>
      </c>
      <c r="F29" s="114" t="s">
        <v>215</v>
      </c>
    </row>
    <row r="30" spans="1:6" x14ac:dyDescent="0.25">
      <c r="A30" s="114" t="s">
        <v>261</v>
      </c>
      <c r="B30" s="114" t="s">
        <v>293</v>
      </c>
      <c r="C30" s="114" t="s">
        <v>247</v>
      </c>
      <c r="D30" s="114">
        <v>2</v>
      </c>
      <c r="E30" s="114" t="s">
        <v>294</v>
      </c>
      <c r="F30" s="114" t="s">
        <v>215</v>
      </c>
    </row>
    <row r="31" spans="1:6" x14ac:dyDescent="0.25">
      <c r="A31" s="114" t="s">
        <v>261</v>
      </c>
      <c r="B31" s="114" t="s">
        <v>295</v>
      </c>
      <c r="C31" s="114" t="s">
        <v>296</v>
      </c>
      <c r="D31" s="114">
        <v>2</v>
      </c>
      <c r="E31" s="114" t="s">
        <v>297</v>
      </c>
      <c r="F31" s="114" t="s">
        <v>212</v>
      </c>
    </row>
    <row r="32" spans="1:6" x14ac:dyDescent="0.25">
      <c r="A32" s="114" t="s">
        <v>261</v>
      </c>
      <c r="B32" s="114" t="s">
        <v>298</v>
      </c>
      <c r="C32" s="114" t="s">
        <v>299</v>
      </c>
      <c r="D32" s="114">
        <v>4</v>
      </c>
      <c r="E32" s="114" t="s">
        <v>300</v>
      </c>
      <c r="F32" s="114" t="s">
        <v>208</v>
      </c>
    </row>
    <row r="33" spans="1:6" x14ac:dyDescent="0.25">
      <c r="A33" s="114" t="s">
        <v>261</v>
      </c>
      <c r="B33" s="114" t="s">
        <v>301</v>
      </c>
      <c r="C33" s="114" t="s">
        <v>302</v>
      </c>
      <c r="D33" s="114">
        <v>4</v>
      </c>
      <c r="E33" s="114" t="s">
        <v>303</v>
      </c>
      <c r="F33" s="114" t="s">
        <v>304</v>
      </c>
    </row>
    <row r="34" spans="1:6" x14ac:dyDescent="0.25">
      <c r="A34" s="114" t="s">
        <v>261</v>
      </c>
      <c r="B34" s="114" t="s">
        <v>305</v>
      </c>
      <c r="C34" s="114" t="s">
        <v>306</v>
      </c>
      <c r="D34" s="114">
        <v>5</v>
      </c>
      <c r="E34" s="114" t="s">
        <v>307</v>
      </c>
      <c r="F34" s="114" t="s">
        <v>215</v>
      </c>
    </row>
    <row r="35" spans="1:6" x14ac:dyDescent="0.25">
      <c r="A35" s="114" t="s">
        <v>261</v>
      </c>
      <c r="B35" s="114" t="s">
        <v>308</v>
      </c>
      <c r="C35" s="114" t="s">
        <v>166</v>
      </c>
      <c r="D35" s="114">
        <v>5</v>
      </c>
      <c r="E35" s="114" t="s">
        <v>309</v>
      </c>
      <c r="F35" s="114" t="s">
        <v>310</v>
      </c>
    </row>
    <row r="36" spans="1:6" x14ac:dyDescent="0.25">
      <c r="A36" s="114" t="s">
        <v>261</v>
      </c>
      <c r="B36" s="114" t="s">
        <v>311</v>
      </c>
      <c r="C36" s="114" t="s">
        <v>210</v>
      </c>
      <c r="D36" s="114">
        <v>3</v>
      </c>
      <c r="E36" s="114" t="s">
        <v>312</v>
      </c>
      <c r="F36" s="114" t="s">
        <v>215</v>
      </c>
    </row>
    <row r="37" spans="1:6" x14ac:dyDescent="0.25">
      <c r="A37" s="114" t="s">
        <v>261</v>
      </c>
      <c r="B37" s="114" t="s">
        <v>313</v>
      </c>
      <c r="C37" s="114" t="s">
        <v>314</v>
      </c>
      <c r="D37" s="114">
        <v>4</v>
      </c>
      <c r="E37" s="114" t="s">
        <v>315</v>
      </c>
      <c r="F37" s="114" t="s">
        <v>208</v>
      </c>
    </row>
    <row r="38" spans="1:6" x14ac:dyDescent="0.25">
      <c r="A38" s="114" t="s">
        <v>261</v>
      </c>
      <c r="B38" s="114" t="s">
        <v>316</v>
      </c>
      <c r="C38" s="114" t="s">
        <v>317</v>
      </c>
      <c r="D38" s="114">
        <v>4</v>
      </c>
      <c r="E38" s="114" t="s">
        <v>318</v>
      </c>
      <c r="F38" s="114" t="s">
        <v>215</v>
      </c>
    </row>
    <row r="39" spans="1:6" x14ac:dyDescent="0.25">
      <c r="A39" s="114" t="s">
        <v>261</v>
      </c>
      <c r="B39" s="114" t="s">
        <v>319</v>
      </c>
      <c r="C39" s="114" t="s">
        <v>320</v>
      </c>
      <c r="D39" s="114">
        <v>3</v>
      </c>
      <c r="E39" s="114" t="s">
        <v>321</v>
      </c>
      <c r="F39" s="114" t="s">
        <v>215</v>
      </c>
    </row>
    <row r="40" spans="1:6" x14ac:dyDescent="0.25">
      <c r="A40" s="114" t="s">
        <v>261</v>
      </c>
      <c r="B40" s="114" t="s">
        <v>322</v>
      </c>
      <c r="C40" s="114" t="s">
        <v>323</v>
      </c>
      <c r="D40" s="114">
        <v>4</v>
      </c>
      <c r="E40" s="114" t="s">
        <v>324</v>
      </c>
      <c r="F40" s="114" t="s">
        <v>325</v>
      </c>
    </row>
    <row r="41" spans="1:6" x14ac:dyDescent="0.25">
      <c r="A41" s="114" t="s">
        <v>261</v>
      </c>
      <c r="B41" s="114" t="s">
        <v>326</v>
      </c>
      <c r="C41" s="114" t="s">
        <v>327</v>
      </c>
      <c r="D41" s="114">
        <v>4</v>
      </c>
      <c r="E41" s="114" t="s">
        <v>328</v>
      </c>
      <c r="F41" s="114" t="s">
        <v>215</v>
      </c>
    </row>
    <row r="42" spans="1:6" x14ac:dyDescent="0.25">
      <c r="A42" s="114" t="s">
        <v>261</v>
      </c>
      <c r="B42" s="114" t="s">
        <v>329</v>
      </c>
      <c r="C42" s="114" t="s">
        <v>330</v>
      </c>
      <c r="D42" s="114">
        <v>5</v>
      </c>
      <c r="E42" s="114" t="s">
        <v>331</v>
      </c>
      <c r="F42" s="114" t="s">
        <v>252</v>
      </c>
    </row>
    <row r="43" spans="1:6" x14ac:dyDescent="0.25">
      <c r="A43" s="114" t="s">
        <v>261</v>
      </c>
      <c r="B43" s="114" t="s">
        <v>332</v>
      </c>
      <c r="C43" s="114" t="s">
        <v>333</v>
      </c>
      <c r="D43" s="114">
        <v>1</v>
      </c>
      <c r="E43" s="114" t="s">
        <v>334</v>
      </c>
      <c r="F43" s="114" t="s">
        <v>335</v>
      </c>
    </row>
    <row r="44" spans="1:6" x14ac:dyDescent="0.25">
      <c r="A44" s="114" t="s">
        <v>261</v>
      </c>
      <c r="B44" s="114" t="s">
        <v>336</v>
      </c>
      <c r="C44" s="114" t="s">
        <v>337</v>
      </c>
      <c r="D44" s="114">
        <v>5</v>
      </c>
      <c r="E44" s="114" t="s">
        <v>338</v>
      </c>
      <c r="F44" s="114" t="s">
        <v>215</v>
      </c>
    </row>
    <row r="45" spans="1:6" x14ac:dyDescent="0.25">
      <c r="A45" s="114" t="s">
        <v>261</v>
      </c>
      <c r="B45" s="114" t="s">
        <v>339</v>
      </c>
      <c r="C45" s="114" t="s">
        <v>340</v>
      </c>
      <c r="D45" s="114">
        <v>5</v>
      </c>
      <c r="E45" s="114" t="s">
        <v>341</v>
      </c>
      <c r="F45" s="114" t="s">
        <v>234</v>
      </c>
    </row>
    <row r="46" spans="1:6" x14ac:dyDescent="0.25">
      <c r="A46" s="114" t="s">
        <v>342</v>
      </c>
      <c r="B46" s="114" t="s">
        <v>343</v>
      </c>
      <c r="C46" s="114" t="s">
        <v>202</v>
      </c>
      <c r="D46" s="114">
        <v>1</v>
      </c>
      <c r="E46" s="114" t="s">
        <v>344</v>
      </c>
      <c r="F46" s="114" t="s">
        <v>204</v>
      </c>
    </row>
    <row r="47" spans="1:6" x14ac:dyDescent="0.25">
      <c r="A47" s="114" t="s">
        <v>342</v>
      </c>
      <c r="B47" s="114" t="s">
        <v>345</v>
      </c>
      <c r="C47" s="114" t="s">
        <v>272</v>
      </c>
      <c r="D47" s="114">
        <v>2</v>
      </c>
      <c r="E47" s="114" t="s">
        <v>346</v>
      </c>
      <c r="F47" s="114" t="s">
        <v>208</v>
      </c>
    </row>
    <row r="48" spans="1:6" x14ac:dyDescent="0.25">
      <c r="A48" s="114" t="s">
        <v>342</v>
      </c>
      <c r="B48" s="114" t="s">
        <v>347</v>
      </c>
      <c r="C48" s="114" t="s">
        <v>348</v>
      </c>
      <c r="D48" s="114">
        <v>3</v>
      </c>
      <c r="E48" s="114" t="s">
        <v>349</v>
      </c>
      <c r="F48" s="114" t="s">
        <v>215</v>
      </c>
    </row>
    <row r="49" spans="1:6" x14ac:dyDescent="0.25">
      <c r="A49" s="114" t="s">
        <v>342</v>
      </c>
      <c r="B49" s="114" t="s">
        <v>350</v>
      </c>
      <c r="C49" s="114" t="s">
        <v>351</v>
      </c>
      <c r="D49" s="114">
        <v>2</v>
      </c>
      <c r="E49" s="114" t="s">
        <v>352</v>
      </c>
      <c r="F49" s="114" t="s">
        <v>241</v>
      </c>
    </row>
    <row r="50" spans="1:6" x14ac:dyDescent="0.25">
      <c r="A50" s="114" t="s">
        <v>342</v>
      </c>
      <c r="B50" s="114" t="s">
        <v>353</v>
      </c>
      <c r="C50" s="114" t="s">
        <v>354</v>
      </c>
      <c r="D50" s="114">
        <v>3</v>
      </c>
      <c r="E50" s="114" t="s">
        <v>355</v>
      </c>
      <c r="F50" s="114" t="s">
        <v>237</v>
      </c>
    </row>
    <row r="51" spans="1:6" x14ac:dyDescent="0.25">
      <c r="A51" s="114" t="s">
        <v>356</v>
      </c>
      <c r="B51" s="114" t="s">
        <v>357</v>
      </c>
      <c r="C51" s="114" t="s">
        <v>358</v>
      </c>
      <c r="D51" s="114">
        <v>5</v>
      </c>
      <c r="E51" s="114" t="s">
        <v>359</v>
      </c>
      <c r="F51" s="114" t="s">
        <v>310</v>
      </c>
    </row>
    <row r="52" spans="1:6" x14ac:dyDescent="0.25">
      <c r="A52" s="114" t="s">
        <v>356</v>
      </c>
      <c r="B52" s="114" t="s">
        <v>360</v>
      </c>
      <c r="C52" s="114" t="s">
        <v>306</v>
      </c>
      <c r="D52" s="114">
        <v>5</v>
      </c>
      <c r="E52" s="114" t="s">
        <v>361</v>
      </c>
      <c r="F52" s="114" t="s">
        <v>310</v>
      </c>
    </row>
    <row r="53" spans="1:6" x14ac:dyDescent="0.25">
      <c r="A53" s="114" t="s">
        <v>356</v>
      </c>
      <c r="B53" s="114" t="s">
        <v>167</v>
      </c>
      <c r="C53" s="114" t="s">
        <v>340</v>
      </c>
      <c r="D53" s="114">
        <v>5</v>
      </c>
      <c r="E53" s="114" t="s">
        <v>362</v>
      </c>
      <c r="F53" s="114" t="s">
        <v>310</v>
      </c>
    </row>
    <row r="54" spans="1:6" x14ac:dyDescent="0.25">
      <c r="A54" s="114" t="s">
        <v>356</v>
      </c>
      <c r="B54" s="114" t="s">
        <v>363</v>
      </c>
      <c r="C54" s="114" t="s">
        <v>250</v>
      </c>
      <c r="D54" s="114">
        <v>3</v>
      </c>
      <c r="E54" s="114" t="s">
        <v>364</v>
      </c>
      <c r="F54" s="114" t="s">
        <v>365</v>
      </c>
    </row>
    <row r="55" spans="1:6" x14ac:dyDescent="0.25">
      <c r="A55" s="114" t="s">
        <v>366</v>
      </c>
      <c r="B55" s="114" t="s">
        <v>367</v>
      </c>
      <c r="C55" s="114" t="s">
        <v>368</v>
      </c>
      <c r="D55" s="114">
        <v>2</v>
      </c>
      <c r="E55" s="114" t="s">
        <v>369</v>
      </c>
      <c r="F55" s="114" t="s">
        <v>215</v>
      </c>
    </row>
    <row r="56" spans="1:6" x14ac:dyDescent="0.25">
      <c r="A56" s="114" t="s">
        <v>366</v>
      </c>
      <c r="B56" s="114" t="s">
        <v>370</v>
      </c>
      <c r="C56" s="114" t="s">
        <v>320</v>
      </c>
      <c r="D56" s="114">
        <v>3</v>
      </c>
      <c r="E56" s="114" t="s">
        <v>371</v>
      </c>
      <c r="F56" s="114" t="s">
        <v>215</v>
      </c>
    </row>
    <row r="57" spans="1:6" x14ac:dyDescent="0.25">
      <c r="A57" s="114" t="s">
        <v>366</v>
      </c>
      <c r="B57" s="114" t="s">
        <v>372</v>
      </c>
      <c r="C57" s="114" t="s">
        <v>373</v>
      </c>
      <c r="D57" s="114">
        <v>3</v>
      </c>
      <c r="E57" s="114" t="s">
        <v>374</v>
      </c>
      <c r="F57" s="114" t="s">
        <v>215</v>
      </c>
    </row>
    <row r="58" spans="1:6" x14ac:dyDescent="0.25">
      <c r="A58" s="114" t="s">
        <v>366</v>
      </c>
      <c r="B58" s="114" t="s">
        <v>375</v>
      </c>
      <c r="C58" s="114" t="s">
        <v>376</v>
      </c>
      <c r="D58" s="114">
        <v>4</v>
      </c>
      <c r="E58" s="114" t="s">
        <v>377</v>
      </c>
      <c r="F58" s="114" t="s">
        <v>215</v>
      </c>
    </row>
    <row r="59" spans="1:6" x14ac:dyDescent="0.25">
      <c r="A59" s="114" t="s">
        <v>366</v>
      </c>
      <c r="B59" s="114" t="s">
        <v>378</v>
      </c>
      <c r="C59" s="114" t="s">
        <v>379</v>
      </c>
      <c r="D59" s="114">
        <v>3</v>
      </c>
      <c r="E59" s="114" t="s">
        <v>380</v>
      </c>
      <c r="F59" s="114" t="s">
        <v>215</v>
      </c>
    </row>
    <row r="60" spans="1:6" x14ac:dyDescent="0.25">
      <c r="A60" s="114" t="s">
        <v>381</v>
      </c>
      <c r="B60" s="114" t="s">
        <v>382</v>
      </c>
      <c r="C60" s="114" t="s">
        <v>383</v>
      </c>
      <c r="D60" s="114">
        <v>3</v>
      </c>
      <c r="E60" s="114" t="s">
        <v>384</v>
      </c>
      <c r="F60" s="114" t="s">
        <v>215</v>
      </c>
    </row>
    <row r="61" spans="1:6" x14ac:dyDescent="0.25">
      <c r="A61" s="114" t="s">
        <v>381</v>
      </c>
      <c r="B61" s="114" t="s">
        <v>385</v>
      </c>
      <c r="C61" s="114" t="s">
        <v>386</v>
      </c>
      <c r="D61" s="114">
        <v>4</v>
      </c>
      <c r="E61" s="114" t="s">
        <v>387</v>
      </c>
      <c r="F61" s="114" t="s">
        <v>215</v>
      </c>
    </row>
    <row r="62" spans="1:6" x14ac:dyDescent="0.25">
      <c r="A62" s="114" t="s">
        <v>381</v>
      </c>
      <c r="B62" s="114" t="s">
        <v>388</v>
      </c>
      <c r="C62" s="114" t="s">
        <v>389</v>
      </c>
      <c r="D62" s="114">
        <v>3</v>
      </c>
      <c r="E62" s="114" t="s">
        <v>390</v>
      </c>
      <c r="F62" s="114" t="s">
        <v>215</v>
      </c>
    </row>
    <row r="63" spans="1:6" x14ac:dyDescent="0.25">
      <c r="A63" s="114" t="s">
        <v>381</v>
      </c>
      <c r="B63" s="114" t="s">
        <v>391</v>
      </c>
      <c r="C63" s="114" t="s">
        <v>392</v>
      </c>
      <c r="D63" s="114">
        <v>2</v>
      </c>
      <c r="E63" s="114" t="s">
        <v>393</v>
      </c>
      <c r="F63" s="114" t="s">
        <v>215</v>
      </c>
    </row>
    <row r="64" spans="1:6" x14ac:dyDescent="0.25">
      <c r="A64" s="114" t="s">
        <v>381</v>
      </c>
      <c r="B64" s="114" t="s">
        <v>394</v>
      </c>
      <c r="C64" s="114" t="s">
        <v>395</v>
      </c>
      <c r="D64" s="114">
        <v>4</v>
      </c>
      <c r="E64" s="114" t="s">
        <v>396</v>
      </c>
      <c r="F64" s="114" t="s">
        <v>215</v>
      </c>
    </row>
    <row r="65" spans="1:6" x14ac:dyDescent="0.25">
      <c r="A65" s="114" t="s">
        <v>397</v>
      </c>
      <c r="B65" s="114" t="s">
        <v>398</v>
      </c>
      <c r="C65" s="114" t="s">
        <v>399</v>
      </c>
      <c r="D65" s="114">
        <v>3</v>
      </c>
      <c r="E65" s="114" t="s">
        <v>400</v>
      </c>
      <c r="F65" s="114" t="s">
        <v>215</v>
      </c>
    </row>
    <row r="66" spans="1:6" x14ac:dyDescent="0.25">
      <c r="A66" s="114" t="s">
        <v>397</v>
      </c>
      <c r="B66" s="114" t="s">
        <v>401</v>
      </c>
      <c r="C66" s="114" t="s">
        <v>402</v>
      </c>
      <c r="D66" s="114">
        <v>2</v>
      </c>
      <c r="E66" s="114" t="s">
        <v>403</v>
      </c>
      <c r="F66" s="114" t="s">
        <v>215</v>
      </c>
    </row>
    <row r="67" spans="1:6" x14ac:dyDescent="0.25">
      <c r="A67" s="114" t="s">
        <v>397</v>
      </c>
      <c r="B67" s="114" t="s">
        <v>404</v>
      </c>
      <c r="C67" s="114" t="s">
        <v>405</v>
      </c>
      <c r="D67" s="114">
        <v>3</v>
      </c>
      <c r="E67" s="114" t="s">
        <v>406</v>
      </c>
      <c r="F67" s="114" t="s">
        <v>215</v>
      </c>
    </row>
    <row r="68" spans="1:6" x14ac:dyDescent="0.25">
      <c r="A68" s="114" t="s">
        <v>397</v>
      </c>
      <c r="B68" s="114" t="s">
        <v>407</v>
      </c>
      <c r="C68" s="114" t="s">
        <v>408</v>
      </c>
      <c r="D68" s="114">
        <v>2</v>
      </c>
      <c r="E68" s="114" t="s">
        <v>409</v>
      </c>
      <c r="F68" s="114" t="s">
        <v>215</v>
      </c>
    </row>
    <row r="69" spans="1:6" x14ac:dyDescent="0.25">
      <c r="A69" s="114" t="s">
        <v>397</v>
      </c>
      <c r="B69" s="114" t="s">
        <v>410</v>
      </c>
      <c r="C69" s="114" t="s">
        <v>411</v>
      </c>
      <c r="D69" s="114">
        <v>2</v>
      </c>
      <c r="E69" s="114" t="s">
        <v>412</v>
      </c>
      <c r="F69" s="114" t="s">
        <v>215</v>
      </c>
    </row>
    <row r="70" spans="1:6" x14ac:dyDescent="0.25">
      <c r="A70" s="114" t="s">
        <v>397</v>
      </c>
      <c r="B70" s="114" t="s">
        <v>413</v>
      </c>
      <c r="C70" s="114" t="s">
        <v>414</v>
      </c>
      <c r="D70" s="114">
        <v>2</v>
      </c>
      <c r="E70" s="114" t="s">
        <v>415</v>
      </c>
      <c r="F70" s="114" t="s">
        <v>215</v>
      </c>
    </row>
    <row r="71" spans="1:6" x14ac:dyDescent="0.25">
      <c r="A71" s="114" t="s">
        <v>397</v>
      </c>
      <c r="B71" s="114" t="s">
        <v>416</v>
      </c>
      <c r="C71" s="114" t="s">
        <v>266</v>
      </c>
      <c r="D71" s="114">
        <v>2</v>
      </c>
      <c r="E71" s="114" t="s">
        <v>417</v>
      </c>
      <c r="F71" s="114" t="s">
        <v>215</v>
      </c>
    </row>
    <row r="72" spans="1:6" x14ac:dyDescent="0.25">
      <c r="A72" s="114" t="s">
        <v>397</v>
      </c>
      <c r="B72" s="114" t="s">
        <v>418</v>
      </c>
      <c r="C72" s="114" t="s">
        <v>419</v>
      </c>
      <c r="D72" s="114">
        <v>2</v>
      </c>
      <c r="E72" s="114" t="s">
        <v>420</v>
      </c>
      <c r="F72" s="114" t="s">
        <v>215</v>
      </c>
    </row>
    <row r="73" spans="1:6" x14ac:dyDescent="0.25">
      <c r="A73" s="114" t="s">
        <v>397</v>
      </c>
      <c r="B73" s="114" t="s">
        <v>421</v>
      </c>
      <c r="C73" s="114" t="s">
        <v>372</v>
      </c>
      <c r="D73" s="114">
        <v>2</v>
      </c>
      <c r="E73" s="114" t="s">
        <v>406</v>
      </c>
      <c r="F73" s="114" t="s">
        <v>215</v>
      </c>
    </row>
    <row r="74" spans="1:6" x14ac:dyDescent="0.25">
      <c r="A74" s="114" t="s">
        <v>397</v>
      </c>
      <c r="B74" s="114" t="s">
        <v>422</v>
      </c>
      <c r="C74" s="114" t="s">
        <v>423</v>
      </c>
      <c r="D74" s="114">
        <v>4</v>
      </c>
      <c r="E74" s="114" t="s">
        <v>424</v>
      </c>
      <c r="F74" s="114" t="s">
        <v>325</v>
      </c>
    </row>
    <row r="75" spans="1:6" x14ac:dyDescent="0.25">
      <c r="A75" s="114" t="s">
        <v>425</v>
      </c>
      <c r="B75" s="114" t="s">
        <v>426</v>
      </c>
      <c r="C75" s="114" t="s">
        <v>284</v>
      </c>
      <c r="D75" s="114">
        <v>5</v>
      </c>
      <c r="E75" s="114" t="s">
        <v>427</v>
      </c>
      <c r="F75" s="114" t="s">
        <v>286</v>
      </c>
    </row>
    <row r="76" spans="1:6" x14ac:dyDescent="0.25">
      <c r="A76" s="114" t="s">
        <v>425</v>
      </c>
      <c r="B76" s="114" t="s">
        <v>428</v>
      </c>
      <c r="C76" s="114" t="s">
        <v>429</v>
      </c>
      <c r="D76" s="114">
        <v>4</v>
      </c>
      <c r="E76" s="114" t="s">
        <v>430</v>
      </c>
      <c r="F76" s="114" t="s">
        <v>234</v>
      </c>
    </row>
    <row r="77" spans="1:6" x14ac:dyDescent="0.25">
      <c r="A77" s="114" t="s">
        <v>425</v>
      </c>
      <c r="B77" s="114" t="s">
        <v>431</v>
      </c>
      <c r="C77" s="114" t="s">
        <v>432</v>
      </c>
      <c r="D77" s="114">
        <v>4</v>
      </c>
      <c r="E77" s="114" t="s">
        <v>433</v>
      </c>
      <c r="F77" s="114" t="s">
        <v>286</v>
      </c>
    </row>
    <row r="78" spans="1:6" x14ac:dyDescent="0.25">
      <c r="A78" s="114" t="s">
        <v>425</v>
      </c>
      <c r="B78" s="114" t="s">
        <v>434</v>
      </c>
      <c r="C78" s="114" t="s">
        <v>340</v>
      </c>
      <c r="D78" s="114">
        <v>4</v>
      </c>
      <c r="E78" s="114" t="s">
        <v>435</v>
      </c>
      <c r="F78" s="114" t="s">
        <v>234</v>
      </c>
    </row>
    <row r="79" spans="1:6" x14ac:dyDescent="0.25">
      <c r="A79" s="114" t="s">
        <v>425</v>
      </c>
      <c r="B79" s="114" t="s">
        <v>436</v>
      </c>
      <c r="C79" s="114" t="s">
        <v>250</v>
      </c>
      <c r="D79" s="114">
        <v>5</v>
      </c>
      <c r="E79" s="114" t="s">
        <v>437</v>
      </c>
      <c r="F79" s="114" t="s">
        <v>215</v>
      </c>
    </row>
    <row r="80" spans="1:6" x14ac:dyDescent="0.25">
      <c r="A80" s="114" t="s">
        <v>425</v>
      </c>
      <c r="B80" s="114" t="s">
        <v>438</v>
      </c>
      <c r="C80" s="114" t="s">
        <v>337</v>
      </c>
      <c r="D80" s="114">
        <v>5</v>
      </c>
      <c r="E80" s="114" t="s">
        <v>439</v>
      </c>
      <c r="F80" s="114" t="s">
        <v>252</v>
      </c>
    </row>
    <row r="81" spans="1:35" x14ac:dyDescent="0.25">
      <c r="A81" s="114" t="s">
        <v>425</v>
      </c>
      <c r="B81" s="114" t="s">
        <v>440</v>
      </c>
      <c r="C81" s="114" t="s">
        <v>441</v>
      </c>
      <c r="D81" s="114">
        <v>2</v>
      </c>
      <c r="E81" s="114" t="s">
        <v>442</v>
      </c>
      <c r="F81" s="114" t="s">
        <v>215</v>
      </c>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row>
    <row r="82" spans="1:35" x14ac:dyDescent="0.25">
      <c r="A82" s="114" t="s">
        <v>425</v>
      </c>
      <c r="B82" s="114" t="s">
        <v>443</v>
      </c>
      <c r="C82" s="114" t="s">
        <v>284</v>
      </c>
      <c r="D82" s="114">
        <v>4</v>
      </c>
      <c r="E82" s="114" t="s">
        <v>444</v>
      </c>
      <c r="F82" s="114" t="s">
        <v>286</v>
      </c>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row>
    <row r="83" spans="1:35" x14ac:dyDescent="0.25">
      <c r="A83" s="114" t="s">
        <v>425</v>
      </c>
      <c r="B83" s="114" t="s">
        <v>445</v>
      </c>
      <c r="C83" s="114" t="s">
        <v>306</v>
      </c>
      <c r="D83" s="114">
        <v>5</v>
      </c>
      <c r="E83" s="114" t="s">
        <v>446</v>
      </c>
      <c r="F83" s="114" t="s">
        <v>215</v>
      </c>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row>
    <row r="84" spans="1:35" x14ac:dyDescent="0.25">
      <c r="A84" s="114" t="s">
        <v>425</v>
      </c>
      <c r="B84" s="114" t="s">
        <v>447</v>
      </c>
      <c r="C84" s="114" t="s">
        <v>448</v>
      </c>
      <c r="D84" s="114">
        <v>5</v>
      </c>
      <c r="E84" s="114" t="s">
        <v>449</v>
      </c>
      <c r="F84" s="114" t="s">
        <v>450</v>
      </c>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row>
    <row r="85" spans="1:35" x14ac:dyDescent="0.25">
      <c r="A85" s="114" t="s">
        <v>52</v>
      </c>
      <c r="B85" s="114" t="s">
        <v>451</v>
      </c>
      <c r="C85" s="114" t="s">
        <v>452</v>
      </c>
      <c r="D85" s="114">
        <v>1</v>
      </c>
      <c r="E85" s="114" t="s">
        <v>453</v>
      </c>
      <c r="F85" s="114" t="s">
        <v>454</v>
      </c>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row>
    <row r="86" spans="1:35" x14ac:dyDescent="0.25">
      <c r="A86" s="114" t="s">
        <v>52</v>
      </c>
      <c r="B86" s="114" t="s">
        <v>455</v>
      </c>
      <c r="C86" s="114" t="s">
        <v>456</v>
      </c>
      <c r="D86" s="114">
        <v>2</v>
      </c>
      <c r="E86" s="114" t="s">
        <v>457</v>
      </c>
      <c r="F86" s="114" t="s">
        <v>454</v>
      </c>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row>
    <row r="87" spans="1:35" x14ac:dyDescent="0.25">
      <c r="A87" s="114" t="s">
        <v>52</v>
      </c>
      <c r="B87" s="114" t="s">
        <v>458</v>
      </c>
      <c r="C87" s="114" t="s">
        <v>459</v>
      </c>
      <c r="D87" s="114">
        <v>3</v>
      </c>
      <c r="E87" s="114" t="s">
        <v>460</v>
      </c>
      <c r="F87" s="114" t="s">
        <v>454</v>
      </c>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row>
    <row r="88" spans="1:35" x14ac:dyDescent="0.25">
      <c r="A88" s="114" t="s">
        <v>52</v>
      </c>
      <c r="B88" s="114" t="s">
        <v>461</v>
      </c>
      <c r="C88" s="114" t="s">
        <v>462</v>
      </c>
      <c r="D88" s="114">
        <v>2</v>
      </c>
      <c r="E88" s="114" t="s">
        <v>463</v>
      </c>
      <c r="F88" s="114" t="s">
        <v>454</v>
      </c>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row>
    <row r="90" spans="1:35" x14ac:dyDescent="0.25">
      <c r="A90" s="114"/>
      <c r="B90" s="114"/>
      <c r="C90" s="114"/>
      <c r="D90" s="114"/>
      <c r="E90" s="114"/>
      <c r="F90" s="114"/>
      <c r="G90" s="108"/>
      <c r="H90" s="108"/>
      <c r="I90" s="108"/>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row>
    <row r="91" spans="1:35" x14ac:dyDescent="0.25">
      <c r="A91" s="59" t="s">
        <v>464</v>
      </c>
      <c r="B91" s="59" t="s">
        <v>465</v>
      </c>
      <c r="C91" s="114"/>
      <c r="D91" s="109" t="str">
        <f t="array" ref="D91:D99">_xlfn.UNIQUE(A2:A88)</f>
        <v>Mecanico</v>
      </c>
      <c r="E91" s="110" t="e" vm="1">
        <f t="array" ref="E91:E116">_xlfn._xlws.FILTER(B2:B88, A2:A88='RA Form'!D8)</f>
        <v>#VALUE!</v>
      </c>
      <c r="F91" s="109" t="e" vm="1">
        <f t="array" ref="F91">_xlfn._xlws.FILTER(C2:C88, B2:B88='RA Form'!E8)</f>
        <v>#VALUE!</v>
      </c>
      <c r="G91" s="108" t="e" vm="1">
        <f t="array" ref="G91:G92">_xlfn._xlws.FILTER(E2:E88, C2:C88='RA Form'!F8)</f>
        <v>#VALUE!</v>
      </c>
      <c r="H91" s="108" t="e" vm="1">
        <f t="array" ref="H91">_xlfn._xlws.FILTER(F2:F88, E2:E88='RA Form'!K8)</f>
        <v>#VALUE!</v>
      </c>
      <c r="I91" s="108"/>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row>
    <row r="92" spans="1:35" x14ac:dyDescent="0.25">
      <c r="A92" s="114" t="s">
        <v>466</v>
      </c>
      <c r="B92" s="114" t="s">
        <v>53</v>
      </c>
      <c r="C92" s="114"/>
      <c r="D92" s="109" t="str">
        <v>Lugar de trabajo</v>
      </c>
      <c r="E92" s="109" t="e" vm="1">
        <v>#VALUE!</v>
      </c>
      <c r="F92" s="109"/>
      <c r="G92" s="108" t="e" vm="1">
        <v>#VALUE!</v>
      </c>
      <c r="H92" s="108"/>
      <c r="I92" s="108"/>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row>
    <row r="93" spans="1:35" x14ac:dyDescent="0.25">
      <c r="A93" s="114" t="s">
        <v>467</v>
      </c>
      <c r="B93" s="114" t="s">
        <v>52</v>
      </c>
      <c r="C93" s="109"/>
      <c r="D93" s="109" t="str">
        <v>Herramientas</v>
      </c>
      <c r="E93" s="109" t="e" vm="1">
        <v>#VALUE!</v>
      </c>
      <c r="F93" s="109"/>
      <c r="G93" s="108"/>
      <c r="H93" s="108"/>
      <c r="I93" s="108"/>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row>
    <row r="94" spans="1:35" x14ac:dyDescent="0.25">
      <c r="A94" s="114" t="s">
        <v>468</v>
      </c>
      <c r="B94" s="114" t="s">
        <v>51</v>
      </c>
      <c r="C94" s="109"/>
      <c r="D94" s="109" t="str">
        <v>Eléctrico</v>
      </c>
      <c r="E94" s="109" t="e" vm="1">
        <v>#VALUE!</v>
      </c>
      <c r="F94" s="109"/>
      <c r="G94" s="108"/>
      <c r="H94" s="108"/>
      <c r="I94" s="108"/>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row>
    <row r="95" spans="1:35" x14ac:dyDescent="0.25">
      <c r="A95" s="114"/>
      <c r="B95" s="114"/>
      <c r="C95" s="109"/>
      <c r="D95" s="109" t="str">
        <v>Psicosocial</v>
      </c>
      <c r="E95" s="109" t="e" vm="1">
        <v>#VALUE!</v>
      </c>
      <c r="F95" s="109"/>
      <c r="G95" s="108"/>
      <c r="H95" s="108"/>
      <c r="I95" s="108"/>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row>
    <row r="96" spans="1:35" x14ac:dyDescent="0.25">
      <c r="A96" s="114"/>
      <c r="B96" s="114"/>
      <c r="C96" s="109"/>
      <c r="D96" s="109" t="str">
        <v>Actividades de trabajo</v>
      </c>
      <c r="E96" s="109" t="e" vm="1">
        <v>#VALUE!</v>
      </c>
      <c r="F96" s="109"/>
      <c r="G96" s="108"/>
      <c r="H96" s="108"/>
      <c r="I96" s="108"/>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row>
    <row r="97" spans="1:35" x14ac:dyDescent="0.25">
      <c r="A97" s="59" t="s">
        <v>469</v>
      </c>
      <c r="B97" s="114"/>
      <c r="C97" s="109"/>
      <c r="D97" s="109" t="str">
        <v>Ergonomía</v>
      </c>
      <c r="E97" s="109" t="e" vm="1">
        <v>#VALUE!</v>
      </c>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row>
    <row r="98" spans="1:35" x14ac:dyDescent="0.25">
      <c r="A98" s="114">
        <v>1</v>
      </c>
      <c r="B98" s="114"/>
      <c r="C98" s="109"/>
      <c r="D98" s="109" t="str">
        <v>Químicos</v>
      </c>
      <c r="E98" s="109" t="e" vm="1">
        <v>#VALUE!</v>
      </c>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row>
    <row r="99" spans="1:35" x14ac:dyDescent="0.25">
      <c r="A99" s="114">
        <v>2</v>
      </c>
      <c r="B99" s="114"/>
      <c r="C99" s="109"/>
      <c r="D99" s="109" t="str">
        <v>Seguridad</v>
      </c>
      <c r="E99" s="109" t="e" vm="1">
        <v>#VALUE!</v>
      </c>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row>
    <row r="100" spans="1:35" x14ac:dyDescent="0.25">
      <c r="A100" s="114">
        <v>3</v>
      </c>
      <c r="B100" s="114"/>
      <c r="C100" s="109"/>
      <c r="D100" s="109"/>
      <c r="E100" s="109" t="e" vm="1">
        <v>#VALUE!</v>
      </c>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row>
    <row r="101" spans="1:35" x14ac:dyDescent="0.25">
      <c r="A101" s="114">
        <v>4</v>
      </c>
      <c r="B101" s="114"/>
      <c r="C101" s="109"/>
      <c r="D101" s="109"/>
      <c r="E101" s="109" t="e" vm="1">
        <v>#VALUE!</v>
      </c>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row>
    <row r="102" spans="1:35" x14ac:dyDescent="0.25">
      <c r="A102" s="114">
        <v>5</v>
      </c>
      <c r="B102" s="114"/>
      <c r="C102" s="109"/>
      <c r="D102" s="109"/>
      <c r="E102" s="109" t="e" vm="1">
        <v>#VALUE!</v>
      </c>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row>
    <row r="103" spans="1:35" x14ac:dyDescent="0.25">
      <c r="A103" s="114"/>
      <c r="B103" s="114"/>
      <c r="C103" s="109"/>
      <c r="D103" s="109"/>
      <c r="E103" s="109" t="e" vm="1">
        <v>#VALUE!</v>
      </c>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row>
    <row r="104" spans="1:35" x14ac:dyDescent="0.25">
      <c r="A104" s="114"/>
      <c r="B104" s="114"/>
      <c r="C104" s="109"/>
      <c r="D104" s="109"/>
      <c r="E104" s="109" t="e" vm="1">
        <v>#VALUE!</v>
      </c>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row>
    <row r="105" spans="1:35" x14ac:dyDescent="0.25">
      <c r="A105" s="114"/>
      <c r="B105" s="114"/>
      <c r="C105" s="109"/>
      <c r="D105" s="109"/>
      <c r="E105" s="109" t="e" vm="1">
        <v>#VALUE!</v>
      </c>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row>
    <row r="106" spans="1:35" x14ac:dyDescent="0.25">
      <c r="A106" s="109" t="s">
        <v>470</v>
      </c>
      <c r="B106" s="114"/>
      <c r="C106" s="109"/>
      <c r="D106" s="109"/>
      <c r="E106" s="109" t="e" vm="1">
        <v>#VALUE!</v>
      </c>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row>
    <row r="107" spans="1:35" x14ac:dyDescent="0.25">
      <c r="A107" s="109" t="s">
        <v>471</v>
      </c>
      <c r="B107" s="114"/>
      <c r="C107" s="109"/>
      <c r="D107" s="109"/>
      <c r="E107" s="109" t="e" vm="1">
        <v>#VALUE!</v>
      </c>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row>
    <row r="108" spans="1:35" x14ac:dyDescent="0.25">
      <c r="A108" s="114"/>
      <c r="B108" s="114"/>
      <c r="C108" s="109"/>
      <c r="D108" s="109"/>
      <c r="E108" s="109" t="e" vm="1">
        <v>#VALUE!</v>
      </c>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row>
    <row r="109" spans="1:35" x14ac:dyDescent="0.25">
      <c r="A109" s="114"/>
      <c r="B109" s="114"/>
      <c r="C109" s="109"/>
      <c r="D109" s="109"/>
      <c r="E109" s="109" t="e" vm="1">
        <v>#VALUE!</v>
      </c>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row>
    <row r="110" spans="1:35" x14ac:dyDescent="0.25">
      <c r="A110" s="114"/>
      <c r="B110" s="114"/>
      <c r="C110" s="109"/>
      <c r="D110" s="109"/>
      <c r="E110" s="109" t="e" vm="1">
        <v>#VALUE!</v>
      </c>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row>
    <row r="111" spans="1:35" x14ac:dyDescent="0.25">
      <c r="A111" s="114"/>
      <c r="B111" s="114"/>
      <c r="C111" s="109"/>
      <c r="D111" s="109"/>
      <c r="E111" s="109" t="e" vm="1">
        <v>#VALUE!</v>
      </c>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row>
    <row r="112" spans="1:35" x14ac:dyDescent="0.25">
      <c r="A112" s="114"/>
      <c r="B112" s="114"/>
      <c r="C112" s="109"/>
      <c r="D112" s="109"/>
      <c r="E112" s="109" t="e" vm="1">
        <v>#VALUE!</v>
      </c>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row>
    <row r="113" spans="3:35" x14ac:dyDescent="0.25">
      <c r="C113" s="109"/>
      <c r="D113" s="109"/>
      <c r="E113" s="109" t="e" vm="1">
        <v>#VALUE!</v>
      </c>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row>
    <row r="114" spans="3:35" x14ac:dyDescent="0.25">
      <c r="C114" s="108"/>
      <c r="D114" s="108"/>
      <c r="E114" s="108" t="e" vm="1">
        <v>#VALUE!</v>
      </c>
      <c r="F114" s="108"/>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row>
    <row r="115" spans="3:35" x14ac:dyDescent="0.25">
      <c r="C115" s="108"/>
      <c r="D115" s="108"/>
      <c r="E115" s="108" t="e" vm="1">
        <v>#VALUE!</v>
      </c>
      <c r="F115" s="108"/>
      <c r="G115" s="108"/>
      <c r="H115" s="108"/>
      <c r="I115" s="108"/>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row>
    <row r="116" spans="3:35" x14ac:dyDescent="0.25">
      <c r="C116" s="108"/>
      <c r="D116" s="108"/>
      <c r="E116" s="108" t="e" vm="1">
        <v>#VALUE!</v>
      </c>
      <c r="F116" s="108"/>
      <c r="G116" s="108"/>
      <c r="H116" s="108"/>
      <c r="I116" s="108"/>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row>
    <row r="117" spans="3:35" x14ac:dyDescent="0.25">
      <c r="C117" s="108"/>
      <c r="D117" s="108"/>
      <c r="E117" s="108"/>
      <c r="F117" s="108"/>
      <c r="G117" s="108"/>
      <c r="H117" s="108"/>
      <c r="I117" s="108"/>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row>
  </sheetData>
  <autoFilter ref="A1:F88" xr:uid="{00000000-0009-0000-0000-000004000000}"/>
  <conditionalFormatting sqref="D2:D88">
    <cfRule type="colorScale" priority="1">
      <colorScale>
        <cfvo type="num" val="1"/>
        <cfvo type="num" val="3"/>
        <cfvo type="num" val="5"/>
        <color rgb="FF63BE7B"/>
        <color rgb="FFFFEB84"/>
        <color rgb="FFF8696B"/>
      </colorScale>
    </cfRule>
  </conditionalFormatting>
  <pageMargins left="0.75" right="0.75" top="1" bottom="1" header="0.5" footer="0.5"/>
  <pageSetup orientation="portrait" r:id="rId1"/>
  <headerFooter>
    <oddFooter>&amp;L16-HS80-8000-00019 Rev C / 16-HS20-8000-00037&amp;RTIEMPO DE RETENCION EN EL PUNTO DE ORIGEN: N/A
ARCHIVO MUERTO: N/A
MEDIO DE REGISTRO: ELECTRONICO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
  <sheetViews>
    <sheetView workbookViewId="0">
      <selection activeCell="J20" sqref="J20"/>
    </sheetView>
  </sheetViews>
  <sheetFormatPr defaultColWidth="9.140625" defaultRowHeight="12.7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workbookViewId="0">
      <selection activeCell="J21" sqref="J21"/>
    </sheetView>
  </sheetViews>
  <sheetFormatPr defaultColWidth="9.140625"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6"/>
  <sheetViews>
    <sheetView workbookViewId="0">
      <selection activeCell="H35" sqref="H35"/>
    </sheetView>
  </sheetViews>
  <sheetFormatPr defaultColWidth="9.140625" defaultRowHeight="12.75" x14ac:dyDescent="0.2"/>
  <cols>
    <col min="1" max="1" width="22.28515625" customWidth="1"/>
  </cols>
  <sheetData>
    <row r="1" spans="1:1" ht="14.1" customHeight="1" x14ac:dyDescent="0.2">
      <c r="A1" s="17" t="s">
        <v>472</v>
      </c>
    </row>
    <row r="2" spans="1:1" ht="14.1" customHeight="1" x14ac:dyDescent="0.2">
      <c r="A2" s="17" t="s">
        <v>473</v>
      </c>
    </row>
    <row r="3" spans="1:1" ht="14.1" customHeight="1" x14ac:dyDescent="0.2">
      <c r="A3" s="17" t="s">
        <v>474</v>
      </c>
    </row>
    <row r="4" spans="1:1" ht="27.95" customHeight="1" x14ac:dyDescent="0.2">
      <c r="A4" s="17" t="s">
        <v>475</v>
      </c>
    </row>
    <row r="5" spans="1:1" ht="27.95" customHeight="1" x14ac:dyDescent="0.2">
      <c r="A5" s="17" t="s">
        <v>476</v>
      </c>
    </row>
    <row r="6" spans="1:1" ht="14.1" customHeight="1" x14ac:dyDescent="0.2">
      <c r="A6" s="17" t="s">
        <v>477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A29"/>
  <sheetViews>
    <sheetView workbookViewId="0">
      <selection activeCell="C16" sqref="C16"/>
    </sheetView>
  </sheetViews>
  <sheetFormatPr defaultColWidth="9.140625" defaultRowHeight="12.75" x14ac:dyDescent="0.2"/>
  <sheetData>
    <row r="1" spans="1:1" ht="15.6" customHeight="1" x14ac:dyDescent="0.25">
      <c r="A1" s="18" t="s">
        <v>478</v>
      </c>
    </row>
    <row r="2" spans="1:1" ht="15.6" customHeight="1" x14ac:dyDescent="0.25">
      <c r="A2" s="18" t="s">
        <v>479</v>
      </c>
    </row>
    <row r="3" spans="1:1" ht="15.6" customHeight="1" x14ac:dyDescent="0.25">
      <c r="A3" s="18" t="s">
        <v>480</v>
      </c>
    </row>
    <row r="4" spans="1:1" ht="15.6" customHeight="1" x14ac:dyDescent="0.25">
      <c r="A4" s="18" t="s">
        <v>481</v>
      </c>
    </row>
    <row r="5" spans="1:1" ht="15.6" customHeight="1" x14ac:dyDescent="0.25">
      <c r="A5" s="18" t="s">
        <v>482</v>
      </c>
    </row>
    <row r="6" spans="1:1" ht="15.6" customHeight="1" x14ac:dyDescent="0.25">
      <c r="A6" s="18" t="s">
        <v>483</v>
      </c>
    </row>
    <row r="7" spans="1:1" ht="15.6" customHeight="1" x14ac:dyDescent="0.25">
      <c r="A7" s="18" t="s">
        <v>484</v>
      </c>
    </row>
    <row r="8" spans="1:1" ht="15.6" customHeight="1" x14ac:dyDescent="0.25">
      <c r="A8" s="18" t="s">
        <v>485</v>
      </c>
    </row>
    <row r="9" spans="1:1" ht="15.6" customHeight="1" x14ac:dyDescent="0.25">
      <c r="A9" s="18" t="s">
        <v>486</v>
      </c>
    </row>
    <row r="10" spans="1:1" ht="15.6" customHeight="1" x14ac:dyDescent="0.25">
      <c r="A10" s="18" t="s">
        <v>487</v>
      </c>
    </row>
    <row r="11" spans="1:1" ht="15.6" customHeight="1" x14ac:dyDescent="0.25">
      <c r="A11" s="18" t="s">
        <v>488</v>
      </c>
    </row>
    <row r="12" spans="1:1" ht="15.6" customHeight="1" x14ac:dyDescent="0.25">
      <c r="A12" s="18" t="s">
        <v>489</v>
      </c>
    </row>
    <row r="13" spans="1:1" ht="15.6" customHeight="1" x14ac:dyDescent="0.25">
      <c r="A13" s="18" t="s">
        <v>490</v>
      </c>
    </row>
    <row r="14" spans="1:1" ht="15.6" customHeight="1" x14ac:dyDescent="0.25">
      <c r="A14" s="18" t="s">
        <v>491</v>
      </c>
    </row>
    <row r="15" spans="1:1" ht="15.6" customHeight="1" x14ac:dyDescent="0.25">
      <c r="A15" s="18" t="s">
        <v>492</v>
      </c>
    </row>
    <row r="16" spans="1:1" ht="15.6" customHeight="1" x14ac:dyDescent="0.25">
      <c r="A16" s="18" t="s">
        <v>493</v>
      </c>
    </row>
    <row r="17" spans="1:1" ht="15.6" customHeight="1" x14ac:dyDescent="0.25">
      <c r="A17" s="18" t="s">
        <v>494</v>
      </c>
    </row>
    <row r="18" spans="1:1" ht="15.6" customHeight="1" x14ac:dyDescent="0.25">
      <c r="A18" s="18" t="s">
        <v>495</v>
      </c>
    </row>
    <row r="19" spans="1:1" ht="15.6" customHeight="1" x14ac:dyDescent="0.25">
      <c r="A19" s="18" t="s">
        <v>496</v>
      </c>
    </row>
    <row r="20" spans="1:1" ht="15.6" customHeight="1" x14ac:dyDescent="0.25">
      <c r="A20" s="18" t="s">
        <v>497</v>
      </c>
    </row>
    <row r="21" spans="1:1" ht="15.6" customHeight="1" x14ac:dyDescent="0.25">
      <c r="A21" s="18" t="s">
        <v>498</v>
      </c>
    </row>
    <row r="22" spans="1:1" ht="15.6" customHeight="1" x14ac:dyDescent="0.25">
      <c r="A22" s="18" t="s">
        <v>499</v>
      </c>
    </row>
    <row r="23" spans="1:1" ht="15.6" customHeight="1" x14ac:dyDescent="0.25">
      <c r="A23" s="18" t="s">
        <v>500</v>
      </c>
    </row>
    <row r="24" spans="1:1" ht="15.6" customHeight="1" x14ac:dyDescent="0.25">
      <c r="A24" s="18" t="s">
        <v>501</v>
      </c>
    </row>
    <row r="25" spans="1:1" ht="15.6" customHeight="1" x14ac:dyDescent="0.25">
      <c r="A25" s="18" t="s">
        <v>502</v>
      </c>
    </row>
    <row r="26" spans="1:1" ht="15.6" customHeight="1" x14ac:dyDescent="0.25">
      <c r="A26" s="18" t="s">
        <v>503</v>
      </c>
    </row>
    <row r="27" spans="1:1" ht="15.6" customHeight="1" x14ac:dyDescent="0.25">
      <c r="A27" s="18" t="s">
        <v>504</v>
      </c>
    </row>
    <row r="28" spans="1:1" ht="15.6" customHeight="1" x14ac:dyDescent="0.25">
      <c r="A28" s="18" t="s">
        <v>505</v>
      </c>
    </row>
    <row r="29" spans="1:1" ht="15.6" customHeight="1" x14ac:dyDescent="0.25">
      <c r="A29" s="18" t="s">
        <v>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L50"/>
  <sheetViews>
    <sheetView topLeftCell="A9" workbookViewId="0">
      <selection activeCell="B34" sqref="B34"/>
    </sheetView>
  </sheetViews>
  <sheetFormatPr defaultColWidth="9.140625" defaultRowHeight="12.75" x14ac:dyDescent="0.2"/>
  <cols>
    <col min="3" max="3" width="21" customWidth="1"/>
  </cols>
  <sheetData>
    <row r="1" spans="1:12" ht="78" customHeight="1" x14ac:dyDescent="0.2">
      <c r="A1" s="165" t="s">
        <v>507</v>
      </c>
      <c r="B1" s="156"/>
      <c r="C1" s="156"/>
      <c r="D1" s="156"/>
      <c r="E1" s="156"/>
      <c r="F1" s="156"/>
      <c r="G1" s="156"/>
      <c r="H1" s="156"/>
      <c r="I1" s="156"/>
      <c r="J1" s="156"/>
      <c r="K1" s="156"/>
      <c r="L1" s="156"/>
    </row>
    <row r="2" spans="1:12" ht="12.95" customHeight="1" x14ac:dyDescent="0.2">
      <c r="A2" s="162" t="s">
        <v>508</v>
      </c>
      <c r="B2" s="136"/>
      <c r="C2" s="136"/>
      <c r="D2" s="136"/>
      <c r="E2" s="136"/>
    </row>
    <row r="3" spans="1:12" ht="14.45" customHeight="1" x14ac:dyDescent="0.25">
      <c r="A3" s="3" t="s">
        <v>509</v>
      </c>
      <c r="B3" s="3"/>
      <c r="C3" s="4" t="s">
        <v>510</v>
      </c>
      <c r="D3" s="9"/>
      <c r="E3" s="10"/>
    </row>
    <row r="4" spans="1:12" ht="14.45" customHeight="1" x14ac:dyDescent="0.25">
      <c r="A4" s="3"/>
      <c r="B4" s="3"/>
      <c r="C4" s="4" t="s">
        <v>511</v>
      </c>
      <c r="D4" s="9"/>
      <c r="E4" s="10"/>
    </row>
    <row r="5" spans="1:12" ht="14.45" customHeight="1" x14ac:dyDescent="0.25">
      <c r="A5" s="3"/>
      <c r="B5" s="3"/>
      <c r="C5" s="4" t="s">
        <v>512</v>
      </c>
      <c r="D5" s="9"/>
      <c r="E5" s="10"/>
    </row>
    <row r="6" spans="1:12" ht="14.45" customHeight="1" x14ac:dyDescent="0.25">
      <c r="A6" s="3"/>
      <c r="B6" s="3"/>
      <c r="C6" s="4" t="s">
        <v>513</v>
      </c>
      <c r="D6" s="9"/>
      <c r="E6" s="10"/>
    </row>
    <row r="7" spans="1:12" ht="14.45" customHeight="1" x14ac:dyDescent="0.25">
      <c r="A7" s="3" t="s">
        <v>514</v>
      </c>
      <c r="B7" s="3"/>
      <c r="C7" s="4" t="s">
        <v>515</v>
      </c>
      <c r="D7" s="9"/>
    </row>
    <row r="8" spans="1:12" ht="14.45" customHeight="1" x14ac:dyDescent="0.25">
      <c r="A8" s="3"/>
      <c r="B8" s="3"/>
      <c r="C8" s="4" t="s">
        <v>516</v>
      </c>
      <c r="D8" s="9"/>
      <c r="E8" s="10"/>
    </row>
    <row r="9" spans="1:12" ht="14.45" customHeight="1" x14ac:dyDescent="0.25">
      <c r="A9" s="3" t="s">
        <v>492</v>
      </c>
      <c r="B9" s="3"/>
      <c r="C9" s="4" t="s">
        <v>517</v>
      </c>
      <c r="D9" s="9"/>
    </row>
    <row r="10" spans="1:12" ht="14.45" customHeight="1" x14ac:dyDescent="0.25">
      <c r="A10" s="3"/>
      <c r="B10" s="3"/>
      <c r="C10" s="4" t="s">
        <v>518</v>
      </c>
      <c r="D10" s="9"/>
      <c r="E10" s="10"/>
    </row>
    <row r="11" spans="1:12" ht="14.45" customHeight="1" x14ac:dyDescent="0.25">
      <c r="A11" s="3" t="s">
        <v>519</v>
      </c>
      <c r="B11" s="3"/>
      <c r="C11" s="4" t="s">
        <v>520</v>
      </c>
      <c r="D11" s="9"/>
    </row>
    <row r="12" spans="1:12" ht="14.45" customHeight="1" x14ac:dyDescent="0.25">
      <c r="A12" s="3"/>
      <c r="B12" s="3"/>
      <c r="C12" s="4" t="s">
        <v>521</v>
      </c>
      <c r="D12" s="9"/>
      <c r="E12" s="10"/>
    </row>
    <row r="13" spans="1:12" ht="14.45" customHeight="1" x14ac:dyDescent="0.2">
      <c r="A13" s="163" t="s">
        <v>522</v>
      </c>
      <c r="B13" s="5"/>
      <c r="C13" s="6" t="s">
        <v>523</v>
      </c>
      <c r="D13" s="11"/>
      <c r="E13" s="10"/>
    </row>
    <row r="14" spans="1:12" ht="20.100000000000001" customHeight="1" x14ac:dyDescent="0.2">
      <c r="A14" s="161"/>
      <c r="B14" s="5"/>
      <c r="C14" s="4" t="s">
        <v>524</v>
      </c>
      <c r="D14" s="9"/>
      <c r="E14" s="10"/>
    </row>
    <row r="15" spans="1:12" ht="14.45" customHeight="1" x14ac:dyDescent="0.2">
      <c r="A15" s="5"/>
      <c r="B15" s="5"/>
      <c r="C15" s="4" t="s">
        <v>525</v>
      </c>
      <c r="D15" s="9"/>
      <c r="E15" s="10"/>
    </row>
    <row r="16" spans="1:12" ht="14.45" customHeight="1" x14ac:dyDescent="0.2">
      <c r="A16" s="5"/>
      <c r="B16" s="5"/>
      <c r="C16" s="4" t="s">
        <v>526</v>
      </c>
      <c r="D16" s="9"/>
      <c r="E16" s="10"/>
    </row>
    <row r="17" spans="1:5" ht="20.100000000000001" customHeight="1" x14ac:dyDescent="0.25">
      <c r="A17" s="3" t="s">
        <v>527</v>
      </c>
      <c r="B17" s="3"/>
      <c r="C17" s="4" t="s">
        <v>528</v>
      </c>
      <c r="D17" s="9"/>
    </row>
    <row r="18" spans="1:5" ht="20.100000000000001" customHeight="1" x14ac:dyDescent="0.25">
      <c r="A18" s="3"/>
      <c r="B18" s="3"/>
      <c r="C18" s="4" t="s">
        <v>529</v>
      </c>
      <c r="D18" s="9"/>
      <c r="E18" s="10"/>
    </row>
    <row r="19" spans="1:5" ht="14.45" customHeight="1" x14ac:dyDescent="0.25">
      <c r="A19" s="3"/>
      <c r="B19" s="3"/>
      <c r="C19" s="4" t="s">
        <v>530</v>
      </c>
      <c r="D19" s="9"/>
      <c r="E19" s="10"/>
    </row>
    <row r="20" spans="1:5" ht="14.45" customHeight="1" x14ac:dyDescent="0.25">
      <c r="A20" s="3" t="s">
        <v>531</v>
      </c>
      <c r="B20" s="3"/>
      <c r="C20" s="4" t="s">
        <v>532</v>
      </c>
      <c r="D20" s="9"/>
    </row>
    <row r="21" spans="1:5" ht="14.45" customHeight="1" x14ac:dyDescent="0.25">
      <c r="A21" s="3"/>
      <c r="B21" s="3"/>
      <c r="C21" s="4" t="s">
        <v>533</v>
      </c>
      <c r="D21" s="9"/>
      <c r="E21" s="10"/>
    </row>
    <row r="22" spans="1:5" ht="14.45" customHeight="1" x14ac:dyDescent="0.25">
      <c r="A22" s="3"/>
      <c r="B22" s="3"/>
      <c r="C22" s="4" t="s">
        <v>534</v>
      </c>
      <c r="D22" s="9"/>
      <c r="E22" s="10"/>
    </row>
    <row r="23" spans="1:5" ht="14.45" customHeight="1" x14ac:dyDescent="0.25">
      <c r="A23" s="3" t="s">
        <v>535</v>
      </c>
      <c r="B23" s="3"/>
      <c r="C23" s="4" t="s">
        <v>536</v>
      </c>
      <c r="D23" s="9"/>
    </row>
    <row r="24" spans="1:5" ht="14.45" customHeight="1" x14ac:dyDescent="0.25">
      <c r="A24" s="3"/>
      <c r="B24" s="3"/>
      <c r="C24" s="4" t="s">
        <v>537</v>
      </c>
      <c r="D24" s="9"/>
      <c r="E24" s="10"/>
    </row>
    <row r="25" spans="1:5" ht="14.45" customHeight="1" x14ac:dyDescent="0.25">
      <c r="A25" s="3"/>
      <c r="B25" s="3"/>
      <c r="C25" s="4" t="s">
        <v>538</v>
      </c>
      <c r="D25" s="9"/>
    </row>
    <row r="26" spans="1:5" ht="14.45" customHeight="1" x14ac:dyDescent="0.25">
      <c r="A26" s="3"/>
      <c r="B26" s="3"/>
      <c r="C26" s="4" t="s">
        <v>539</v>
      </c>
      <c r="D26" s="9"/>
      <c r="E26" s="10"/>
    </row>
    <row r="27" spans="1:5" ht="14.45" customHeight="1" x14ac:dyDescent="0.25">
      <c r="A27" s="3"/>
      <c r="B27" s="3"/>
      <c r="C27" s="4" t="s">
        <v>540</v>
      </c>
      <c r="D27" s="9"/>
    </row>
    <row r="28" spans="1:5" ht="14.45" customHeight="1" x14ac:dyDescent="0.25">
      <c r="A28" s="3"/>
      <c r="B28" s="3"/>
      <c r="C28" s="4" t="s">
        <v>541</v>
      </c>
      <c r="D28" s="9"/>
      <c r="E28" s="10"/>
    </row>
    <row r="29" spans="1:5" ht="14.45" customHeight="1" x14ac:dyDescent="0.25">
      <c r="A29" s="3"/>
      <c r="B29" s="3"/>
      <c r="C29" s="4" t="s">
        <v>542</v>
      </c>
      <c r="D29" s="9"/>
      <c r="E29" s="10"/>
    </row>
    <row r="30" spans="1:5" ht="14.45" customHeight="1" x14ac:dyDescent="0.2">
      <c r="A30" s="8" t="s">
        <v>543</v>
      </c>
      <c r="B30" s="5"/>
      <c r="C30" s="4" t="s">
        <v>544</v>
      </c>
      <c r="D30" s="9"/>
    </row>
    <row r="31" spans="1:5" ht="14.45" customHeight="1" x14ac:dyDescent="0.2">
      <c r="A31" s="8"/>
      <c r="B31" s="5"/>
      <c r="C31" s="4" t="s">
        <v>545</v>
      </c>
      <c r="D31" s="9"/>
      <c r="E31" s="10"/>
    </row>
    <row r="32" spans="1:5" ht="14.45" customHeight="1" x14ac:dyDescent="0.2">
      <c r="A32" s="8"/>
      <c r="B32" s="5"/>
      <c r="C32" s="4" t="s">
        <v>546</v>
      </c>
      <c r="D32" s="9"/>
    </row>
    <row r="33" spans="1:5" ht="14.45" customHeight="1" x14ac:dyDescent="0.2">
      <c r="A33" s="8"/>
      <c r="B33" s="5"/>
      <c r="C33" s="4" t="s">
        <v>547</v>
      </c>
      <c r="D33" s="9"/>
      <c r="E33" s="10"/>
    </row>
    <row r="34" spans="1:5" ht="14.45" customHeight="1" x14ac:dyDescent="0.2">
      <c r="A34" s="8" t="s">
        <v>548</v>
      </c>
      <c r="B34" s="5"/>
      <c r="C34" s="4" t="s">
        <v>549</v>
      </c>
      <c r="D34" s="9"/>
    </row>
    <row r="35" spans="1:5" ht="14.45" customHeight="1" x14ac:dyDescent="0.2">
      <c r="A35" s="8"/>
      <c r="B35" s="5"/>
      <c r="C35" s="4" t="s">
        <v>550</v>
      </c>
      <c r="D35" s="9"/>
      <c r="E35" s="10"/>
    </row>
    <row r="36" spans="1:5" ht="14.45" customHeight="1" x14ac:dyDescent="0.2">
      <c r="A36" s="8"/>
      <c r="B36" s="5"/>
      <c r="C36" s="4" t="s">
        <v>551</v>
      </c>
      <c r="D36" s="9"/>
    </row>
    <row r="37" spans="1:5" ht="14.45" customHeight="1" x14ac:dyDescent="0.2">
      <c r="A37" s="8"/>
      <c r="B37" s="5"/>
      <c r="C37" s="4" t="s">
        <v>552</v>
      </c>
      <c r="D37" s="9"/>
      <c r="E37" s="10"/>
    </row>
    <row r="38" spans="1:5" ht="14.45" customHeight="1" x14ac:dyDescent="0.2">
      <c r="A38" s="5"/>
      <c r="B38" s="5"/>
      <c r="C38" s="4" t="s">
        <v>553</v>
      </c>
      <c r="D38" s="9"/>
    </row>
    <row r="39" spans="1:5" ht="14.45" customHeight="1" x14ac:dyDescent="0.2">
      <c r="A39" s="5"/>
      <c r="B39" s="5"/>
      <c r="C39" s="4" t="s">
        <v>554</v>
      </c>
      <c r="D39" s="9"/>
      <c r="E39" s="10"/>
    </row>
    <row r="40" spans="1:5" ht="14.45" customHeight="1" x14ac:dyDescent="0.25">
      <c r="A40" s="3" t="s">
        <v>555</v>
      </c>
      <c r="B40" s="3"/>
      <c r="C40" s="7" t="s">
        <v>556</v>
      </c>
    </row>
    <row r="41" spans="1:5" ht="14.45" customHeight="1" x14ac:dyDescent="0.25">
      <c r="A41" s="3"/>
      <c r="B41" s="3"/>
      <c r="C41" s="7" t="s">
        <v>557</v>
      </c>
      <c r="E41" s="12"/>
    </row>
    <row r="42" spans="1:5" ht="14.45" customHeight="1" x14ac:dyDescent="0.25">
      <c r="A42" s="3"/>
      <c r="B42" s="3"/>
      <c r="C42" s="7" t="s">
        <v>558</v>
      </c>
      <c r="E42" s="12"/>
    </row>
    <row r="43" spans="1:5" ht="14.45" customHeight="1" x14ac:dyDescent="0.25">
      <c r="A43" s="3"/>
      <c r="B43" s="3"/>
      <c r="C43" s="7" t="s">
        <v>559</v>
      </c>
      <c r="D43" s="12"/>
      <c r="E43" s="12"/>
    </row>
    <row r="44" spans="1:5" ht="14.45" customHeight="1" x14ac:dyDescent="0.25">
      <c r="A44" s="3"/>
      <c r="B44" s="3"/>
      <c r="C44" s="7" t="s">
        <v>560</v>
      </c>
      <c r="D44" s="12"/>
      <c r="E44" s="12"/>
    </row>
    <row r="45" spans="1:5" ht="14.45" customHeight="1" x14ac:dyDescent="0.25">
      <c r="A45" s="3"/>
      <c r="B45" s="3"/>
      <c r="C45" s="7" t="s">
        <v>561</v>
      </c>
      <c r="D45" s="12"/>
      <c r="E45" s="12"/>
    </row>
    <row r="46" spans="1:5" ht="14.45" customHeight="1" x14ac:dyDescent="0.25">
      <c r="A46" s="3"/>
      <c r="B46" s="3"/>
      <c r="C46" s="7" t="s">
        <v>562</v>
      </c>
      <c r="D46" s="12"/>
      <c r="E46" s="12"/>
    </row>
    <row r="47" spans="1:5" ht="14.45" customHeight="1" x14ac:dyDescent="0.25">
      <c r="A47" s="3" t="s">
        <v>563</v>
      </c>
      <c r="B47" s="164" t="s">
        <v>564</v>
      </c>
      <c r="C47" s="119"/>
      <c r="D47" s="119"/>
      <c r="E47" s="120"/>
    </row>
    <row r="49" spans="1:1" x14ac:dyDescent="0.2">
      <c r="A49" t="s">
        <v>565</v>
      </c>
    </row>
    <row r="50" spans="1:1" x14ac:dyDescent="0.2">
      <c r="A50" t="s">
        <v>566</v>
      </c>
    </row>
  </sheetData>
  <mergeCells count="4">
    <mergeCell ref="A2:E2"/>
    <mergeCell ref="A13:A14"/>
    <mergeCell ref="B47:E47"/>
    <mergeCell ref="A1:L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I8"/>
  <sheetViews>
    <sheetView workbookViewId="0">
      <selection activeCell="A2" sqref="A2:C8"/>
    </sheetView>
  </sheetViews>
  <sheetFormatPr defaultColWidth="9.140625" defaultRowHeight="12.75" x14ac:dyDescent="0.2"/>
  <cols>
    <col min="1" max="1" width="44.28515625" customWidth="1"/>
    <col min="3" max="3" width="9.28515625" customWidth="1"/>
    <col min="6" max="6" width="11.28515625" bestFit="1" customWidth="1"/>
  </cols>
  <sheetData>
    <row r="1" spans="1:9" x14ac:dyDescent="0.2">
      <c r="C1" s="2" t="s">
        <v>567</v>
      </c>
    </row>
    <row r="2" spans="1:9" x14ac:dyDescent="0.2">
      <c r="A2" t="s">
        <v>568</v>
      </c>
      <c r="B2">
        <v>5</v>
      </c>
      <c r="C2" s="15">
        <v>0</v>
      </c>
    </row>
    <row r="3" spans="1:9" x14ac:dyDescent="0.2">
      <c r="A3" t="s">
        <v>569</v>
      </c>
      <c r="B3">
        <v>4</v>
      </c>
      <c r="C3" s="16">
        <v>-0.1</v>
      </c>
    </row>
    <row r="4" spans="1:9" x14ac:dyDescent="0.2">
      <c r="A4" t="s">
        <v>570</v>
      </c>
      <c r="B4">
        <v>4</v>
      </c>
      <c r="C4" s="16">
        <v>-0.1</v>
      </c>
    </row>
    <row r="5" spans="1:9" x14ac:dyDescent="0.2">
      <c r="A5" t="s">
        <v>571</v>
      </c>
      <c r="B5">
        <v>4</v>
      </c>
      <c r="C5" s="16">
        <v>-0.1</v>
      </c>
    </row>
    <row r="6" spans="1:9" ht="12.95" customHeight="1" x14ac:dyDescent="0.2">
      <c r="A6" t="s">
        <v>572</v>
      </c>
      <c r="B6">
        <v>3</v>
      </c>
      <c r="C6" s="16">
        <v>-0.4</v>
      </c>
      <c r="D6" s="13"/>
      <c r="E6" s="14"/>
      <c r="F6" s="14"/>
      <c r="G6" s="14"/>
      <c r="H6" s="14"/>
      <c r="I6" s="14"/>
    </row>
    <row r="7" spans="1:9" ht="12.95" customHeight="1" x14ac:dyDescent="0.2">
      <c r="A7" t="s">
        <v>573</v>
      </c>
      <c r="B7">
        <v>2</v>
      </c>
      <c r="C7" s="16">
        <v>-0.7</v>
      </c>
      <c r="D7" s="13"/>
      <c r="E7" s="14"/>
      <c r="F7" s="14"/>
    </row>
    <row r="8" spans="1:9" ht="12.95" customHeight="1" x14ac:dyDescent="0.2">
      <c r="A8" t="s">
        <v>574</v>
      </c>
      <c r="B8">
        <v>1</v>
      </c>
      <c r="C8" s="16">
        <v>-0.8</v>
      </c>
      <c r="D8" s="13"/>
      <c r="E8" s="14"/>
      <c r="F8" s="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C6"/>
  <sheetViews>
    <sheetView workbookViewId="0">
      <selection activeCell="C3" sqref="C3"/>
    </sheetView>
  </sheetViews>
  <sheetFormatPr defaultColWidth="9.140625" defaultRowHeight="12.75" x14ac:dyDescent="0.2"/>
  <sheetData>
    <row r="1" spans="1:3" ht="12.95" customHeight="1" x14ac:dyDescent="0.2">
      <c r="C1" s="1" t="s">
        <v>575</v>
      </c>
    </row>
    <row r="2" spans="1:3" x14ac:dyDescent="0.2">
      <c r="A2">
        <v>1</v>
      </c>
      <c r="C2" t="s">
        <v>576</v>
      </c>
    </row>
    <row r="3" spans="1:3" x14ac:dyDescent="0.2">
      <c r="A3">
        <v>2</v>
      </c>
      <c r="C3" t="s">
        <v>577</v>
      </c>
    </row>
    <row r="4" spans="1:3" x14ac:dyDescent="0.2">
      <c r="A4">
        <v>3</v>
      </c>
      <c r="C4" t="s">
        <v>578</v>
      </c>
    </row>
    <row r="5" spans="1:3" x14ac:dyDescent="0.2">
      <c r="A5">
        <v>4</v>
      </c>
      <c r="C5" t="s">
        <v>579</v>
      </c>
    </row>
    <row r="6" spans="1:3" x14ac:dyDescent="0.2">
      <c r="A6">
        <v>5</v>
      </c>
      <c r="C6" t="s">
        <v>580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9"/>
  <sheetViews>
    <sheetView workbookViewId="0">
      <selection activeCell="A2005" sqref="A2005"/>
    </sheetView>
  </sheetViews>
  <sheetFormatPr defaultColWidth="9.140625" defaultRowHeight="12.75" x14ac:dyDescent="0.2"/>
  <cols>
    <col min="1" max="1" width="20.85546875" bestFit="1" customWidth="1"/>
    <col min="2" max="2" width="19.5703125" bestFit="1" customWidth="1"/>
    <col min="3" max="3" width="21.42578125" bestFit="1" customWidth="1"/>
    <col min="4" max="4" width="20.85546875" bestFit="1" customWidth="1"/>
    <col min="5" max="5" width="22.85546875" bestFit="1" customWidth="1"/>
    <col min="6" max="6" width="19.140625" bestFit="1" customWidth="1"/>
    <col min="7" max="7" width="17.140625" bestFit="1" customWidth="1"/>
    <col min="8" max="8" width="19.140625" bestFit="1" customWidth="1"/>
    <col min="9" max="9" width="15.28515625" bestFit="1" customWidth="1"/>
  </cols>
  <sheetData>
    <row r="1" spans="1:9" x14ac:dyDescent="0.2">
      <c r="A1" t="s">
        <v>381</v>
      </c>
      <c r="B1" t="s">
        <v>397</v>
      </c>
      <c r="C1" t="s">
        <v>356</v>
      </c>
      <c r="D1" t="s">
        <v>342</v>
      </c>
      <c r="E1" t="s">
        <v>261</v>
      </c>
      <c r="F1" t="s">
        <v>200</v>
      </c>
      <c r="G1" t="s">
        <v>366</v>
      </c>
      <c r="H1" t="s">
        <v>425</v>
      </c>
      <c r="I1" t="s">
        <v>52</v>
      </c>
    </row>
    <row r="2" spans="1:9" x14ac:dyDescent="0.2">
      <c r="A2" t="s">
        <v>382</v>
      </c>
      <c r="B2" t="s">
        <v>398</v>
      </c>
      <c r="C2" t="s">
        <v>357</v>
      </c>
      <c r="D2" t="s">
        <v>343</v>
      </c>
      <c r="E2" t="s">
        <v>262</v>
      </c>
      <c r="F2" t="s">
        <v>201</v>
      </c>
      <c r="G2" t="s">
        <v>367</v>
      </c>
      <c r="H2" t="s">
        <v>426</v>
      </c>
      <c r="I2" t="s">
        <v>451</v>
      </c>
    </row>
    <row r="3" spans="1:9" x14ac:dyDescent="0.2">
      <c r="A3" t="s">
        <v>385</v>
      </c>
      <c r="B3" t="s">
        <v>401</v>
      </c>
      <c r="C3" t="s">
        <v>360</v>
      </c>
      <c r="D3" t="s">
        <v>345</v>
      </c>
      <c r="E3" t="s">
        <v>265</v>
      </c>
      <c r="F3" t="s">
        <v>205</v>
      </c>
      <c r="G3" t="s">
        <v>370</v>
      </c>
      <c r="H3" t="s">
        <v>428</v>
      </c>
      <c r="I3" t="s">
        <v>455</v>
      </c>
    </row>
    <row r="4" spans="1:9" x14ac:dyDescent="0.2">
      <c r="A4" t="s">
        <v>388</v>
      </c>
      <c r="B4" t="s">
        <v>404</v>
      </c>
      <c r="C4" t="s">
        <v>167</v>
      </c>
      <c r="D4" t="s">
        <v>407</v>
      </c>
      <c r="E4" t="s">
        <v>268</v>
      </c>
      <c r="F4" t="s">
        <v>209</v>
      </c>
      <c r="G4" t="s">
        <v>372</v>
      </c>
      <c r="H4" t="s">
        <v>431</v>
      </c>
      <c r="I4" t="s">
        <v>458</v>
      </c>
    </row>
    <row r="5" spans="1:9" x14ac:dyDescent="0.2">
      <c r="A5" t="s">
        <v>391</v>
      </c>
      <c r="B5" t="s">
        <v>413</v>
      </c>
      <c r="C5" t="s">
        <v>363</v>
      </c>
      <c r="D5" t="s">
        <v>410</v>
      </c>
      <c r="E5" t="s">
        <v>271</v>
      </c>
      <c r="F5" t="s">
        <v>206</v>
      </c>
      <c r="G5" t="s">
        <v>375</v>
      </c>
      <c r="H5" t="s">
        <v>434</v>
      </c>
      <c r="I5" t="s">
        <v>461</v>
      </c>
    </row>
    <row r="6" spans="1:9" x14ac:dyDescent="0.2">
      <c r="A6" t="s">
        <v>394</v>
      </c>
      <c r="B6" t="s">
        <v>416</v>
      </c>
      <c r="D6" t="s">
        <v>347</v>
      </c>
      <c r="E6" t="s">
        <v>274</v>
      </c>
      <c r="F6" t="s">
        <v>216</v>
      </c>
      <c r="G6" t="s">
        <v>378</v>
      </c>
      <c r="H6" t="s">
        <v>436</v>
      </c>
    </row>
    <row r="7" spans="1:9" x14ac:dyDescent="0.2">
      <c r="B7" t="s">
        <v>418</v>
      </c>
      <c r="D7" t="s">
        <v>350</v>
      </c>
      <c r="E7" t="s">
        <v>278</v>
      </c>
      <c r="F7" t="s">
        <v>219</v>
      </c>
      <c r="H7" t="s">
        <v>438</v>
      </c>
    </row>
    <row r="8" spans="1:9" x14ac:dyDescent="0.2">
      <c r="B8" t="s">
        <v>421</v>
      </c>
      <c r="D8" t="s">
        <v>353</v>
      </c>
      <c r="E8" t="s">
        <v>281</v>
      </c>
      <c r="F8" t="s">
        <v>222</v>
      </c>
      <c r="H8" t="s">
        <v>440</v>
      </c>
    </row>
    <row r="9" spans="1:9" x14ac:dyDescent="0.2">
      <c r="B9" t="s">
        <v>407</v>
      </c>
      <c r="E9" t="s">
        <v>283</v>
      </c>
      <c r="F9" t="s">
        <v>225</v>
      </c>
      <c r="H9" t="s">
        <v>443</v>
      </c>
    </row>
    <row r="10" spans="1:9" x14ac:dyDescent="0.2">
      <c r="B10" t="s">
        <v>410</v>
      </c>
      <c r="E10" t="s">
        <v>287</v>
      </c>
      <c r="F10" t="s">
        <v>228</v>
      </c>
      <c r="H10" t="s">
        <v>445</v>
      </c>
    </row>
    <row r="11" spans="1:9" x14ac:dyDescent="0.2">
      <c r="E11" t="s">
        <v>290</v>
      </c>
      <c r="F11" t="s">
        <v>231</v>
      </c>
      <c r="H11" t="s">
        <v>447</v>
      </c>
    </row>
    <row r="12" spans="1:9" x14ac:dyDescent="0.2">
      <c r="E12" t="s">
        <v>293</v>
      </c>
      <c r="F12" t="s">
        <v>172</v>
      </c>
    </row>
    <row r="13" spans="1:9" x14ac:dyDescent="0.2">
      <c r="E13" t="s">
        <v>295</v>
      </c>
      <c r="F13" t="s">
        <v>238</v>
      </c>
    </row>
    <row r="14" spans="1:9" x14ac:dyDescent="0.2">
      <c r="E14" t="s">
        <v>298</v>
      </c>
      <c r="F14" t="s">
        <v>242</v>
      </c>
    </row>
    <row r="15" spans="1:9" x14ac:dyDescent="0.2">
      <c r="E15" t="s">
        <v>301</v>
      </c>
      <c r="F15" t="s">
        <v>246</v>
      </c>
    </row>
    <row r="16" spans="1:9" x14ac:dyDescent="0.2">
      <c r="E16" t="s">
        <v>305</v>
      </c>
      <c r="F16" t="s">
        <v>249</v>
      </c>
    </row>
    <row r="17" spans="5:6" x14ac:dyDescent="0.2">
      <c r="E17" t="s">
        <v>308</v>
      </c>
      <c r="F17" t="s">
        <v>253</v>
      </c>
    </row>
    <row r="18" spans="5:6" x14ac:dyDescent="0.2">
      <c r="E18" t="s">
        <v>311</v>
      </c>
      <c r="F18" t="s">
        <v>256</v>
      </c>
    </row>
    <row r="19" spans="5:6" x14ac:dyDescent="0.2">
      <c r="E19" t="s">
        <v>313</v>
      </c>
      <c r="F19" t="s">
        <v>259</v>
      </c>
    </row>
    <row r="20" spans="5:6" x14ac:dyDescent="0.2">
      <c r="E20" t="s">
        <v>316</v>
      </c>
    </row>
    <row r="21" spans="5:6" x14ac:dyDescent="0.2">
      <c r="E21" t="s">
        <v>319</v>
      </c>
    </row>
    <row r="22" spans="5:6" x14ac:dyDescent="0.2">
      <c r="E22" t="s">
        <v>322</v>
      </c>
    </row>
    <row r="23" spans="5:6" x14ac:dyDescent="0.2">
      <c r="E23" t="s">
        <v>326</v>
      </c>
    </row>
    <row r="24" spans="5:6" x14ac:dyDescent="0.2">
      <c r="E24" t="s">
        <v>329</v>
      </c>
    </row>
    <row r="25" spans="5:6" x14ac:dyDescent="0.2">
      <c r="E25" t="s">
        <v>332</v>
      </c>
    </row>
    <row r="26" spans="5:6" x14ac:dyDescent="0.2">
      <c r="E26" t="s">
        <v>336</v>
      </c>
    </row>
    <row r="27" spans="5:6" x14ac:dyDescent="0.2">
      <c r="E27" t="s">
        <v>339</v>
      </c>
    </row>
    <row r="2000" spans="1:1" x14ac:dyDescent="0.2">
      <c r="A2000" t="s">
        <v>581</v>
      </c>
    </row>
    <row r="2001" spans="1:1" x14ac:dyDescent="0.2">
      <c r="A2001" t="s">
        <v>381</v>
      </c>
    </row>
    <row r="2002" spans="1:1" x14ac:dyDescent="0.2">
      <c r="A2002" t="s">
        <v>397</v>
      </c>
    </row>
    <row r="2003" spans="1:1" x14ac:dyDescent="0.2">
      <c r="A2003" t="s">
        <v>356</v>
      </c>
    </row>
    <row r="2004" spans="1:1" x14ac:dyDescent="0.2">
      <c r="A2004" t="s">
        <v>342</v>
      </c>
    </row>
    <row r="2005" spans="1:1" x14ac:dyDescent="0.2">
      <c r="A2005" t="s">
        <v>261</v>
      </c>
    </row>
    <row r="2006" spans="1:1" x14ac:dyDescent="0.2">
      <c r="A2006" t="s">
        <v>200</v>
      </c>
    </row>
    <row r="2007" spans="1:1" x14ac:dyDescent="0.2">
      <c r="A2007" t="s">
        <v>366</v>
      </c>
    </row>
    <row r="2008" spans="1:1" x14ac:dyDescent="0.2">
      <c r="A2008" t="s">
        <v>425</v>
      </c>
    </row>
    <row r="2009" spans="1:1" x14ac:dyDescent="0.2">
      <c r="A2009" t="s">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M5"/>
  <sheetViews>
    <sheetView workbookViewId="0"/>
  </sheetViews>
  <sheetFormatPr defaultColWidth="9.140625" defaultRowHeight="12.75" x14ac:dyDescent="0.2"/>
  <sheetData>
    <row r="1" spans="1:91"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53</v>
      </c>
      <c r="BE1" t="s">
        <v>404</v>
      </c>
      <c r="BF1" t="s">
        <v>313</v>
      </c>
      <c r="BG1" t="s">
        <v>271</v>
      </c>
      <c r="BH1" t="s">
        <v>445</v>
      </c>
      <c r="BI1" t="s">
        <v>422</v>
      </c>
      <c r="BJ1" t="s">
        <v>259</v>
      </c>
      <c r="BK1" t="s">
        <v>347</v>
      </c>
      <c r="BL1" t="s">
        <v>322</v>
      </c>
      <c r="BM1" t="s">
        <v>290</v>
      </c>
      <c r="BN1" t="s">
        <v>431</v>
      </c>
      <c r="BO1" t="s">
        <v>413</v>
      </c>
      <c r="BP1" t="s">
        <v>367</v>
      </c>
      <c r="BQ1" t="s">
        <v>382</v>
      </c>
      <c r="BR1" t="s">
        <v>316</v>
      </c>
      <c r="BS1" t="s">
        <v>242</v>
      </c>
      <c r="BT1" t="s">
        <v>246</v>
      </c>
      <c r="BU1" t="s">
        <v>268</v>
      </c>
      <c r="BV1" t="s">
        <v>443</v>
      </c>
      <c r="BW1" t="s">
        <v>451</v>
      </c>
      <c r="BX1" t="s">
        <v>172</v>
      </c>
      <c r="BY1" t="s">
        <v>353</v>
      </c>
      <c r="BZ1" t="s">
        <v>51</v>
      </c>
      <c r="CA1" t="s">
        <v>52</v>
      </c>
      <c r="CB1" t="s">
        <v>308</v>
      </c>
      <c r="CC1" t="s">
        <v>249</v>
      </c>
      <c r="CD1" t="s">
        <v>231</v>
      </c>
      <c r="CE1" t="s">
        <v>416</v>
      </c>
      <c r="CF1" t="s">
        <v>278</v>
      </c>
      <c r="CG1" t="s">
        <v>375</v>
      </c>
      <c r="CH1" t="s">
        <v>421</v>
      </c>
      <c r="CI1" t="s">
        <v>388</v>
      </c>
      <c r="CJ1" t="s">
        <v>461</v>
      </c>
      <c r="CK1" t="s">
        <v>274</v>
      </c>
      <c r="CL1" t="s">
        <v>238</v>
      </c>
      <c r="CM1" t="s">
        <v>350</v>
      </c>
    </row>
    <row r="2" spans="1:91" x14ac:dyDescent="0.2">
      <c r="A2" t="s">
        <v>582</v>
      </c>
      <c r="B2" t="s">
        <v>583</v>
      </c>
      <c r="C2" t="s">
        <v>412</v>
      </c>
      <c r="D2" t="s">
        <v>584</v>
      </c>
      <c r="E2" t="s">
        <v>52</v>
      </c>
      <c r="F2" t="s">
        <v>585</v>
      </c>
      <c r="G2" t="s">
        <v>586</v>
      </c>
      <c r="H2" t="s">
        <v>587</v>
      </c>
      <c r="I2" t="s">
        <v>588</v>
      </c>
      <c r="J2" t="s">
        <v>589</v>
      </c>
      <c r="K2" t="s">
        <v>590</v>
      </c>
      <c r="L2" t="s">
        <v>591</v>
      </c>
      <c r="M2" t="s">
        <v>592</v>
      </c>
      <c r="N2" t="s">
        <v>593</v>
      </c>
      <c r="O2" t="s">
        <v>594</v>
      </c>
      <c r="P2" t="s">
        <v>595</v>
      </c>
      <c r="Q2" t="s">
        <v>596</v>
      </c>
      <c r="R2" t="s">
        <v>597</v>
      </c>
      <c r="S2" t="s">
        <v>598</v>
      </c>
      <c r="T2" t="s">
        <v>599</v>
      </c>
      <c r="U2" t="s">
        <v>600</v>
      </c>
      <c r="V2" t="s">
        <v>601</v>
      </c>
      <c r="W2" t="s">
        <v>602</v>
      </c>
      <c r="X2" t="s">
        <v>603</v>
      </c>
      <c r="Y2" t="s">
        <v>604</v>
      </c>
      <c r="Z2" t="s">
        <v>605</v>
      </c>
      <c r="AA2" t="s">
        <v>583</v>
      </c>
      <c r="AB2" t="s">
        <v>606</v>
      </c>
      <c r="AC2" t="s">
        <v>607</v>
      </c>
      <c r="AD2" t="s">
        <v>587</v>
      </c>
      <c r="AE2" t="s">
        <v>608</v>
      </c>
      <c r="AF2" t="s">
        <v>609</v>
      </c>
      <c r="AG2" t="s">
        <v>610</v>
      </c>
      <c r="AH2" t="s">
        <v>611</v>
      </c>
      <c r="AI2" t="s">
        <v>612</v>
      </c>
      <c r="AJ2" t="s">
        <v>613</v>
      </c>
      <c r="AK2" t="s">
        <v>614</v>
      </c>
      <c r="AL2" t="s">
        <v>615</v>
      </c>
      <c r="AM2" t="s">
        <v>616</v>
      </c>
      <c r="AN2" t="s">
        <v>617</v>
      </c>
      <c r="AO2" t="s">
        <v>618</v>
      </c>
      <c r="AP2" t="s">
        <v>613</v>
      </c>
      <c r="AQ2" t="s">
        <v>619</v>
      </c>
      <c r="AR2" t="s">
        <v>620</v>
      </c>
      <c r="AS2" t="s">
        <v>593</v>
      </c>
      <c r="AT2" t="s">
        <v>621</v>
      </c>
      <c r="AU2" t="s">
        <v>607</v>
      </c>
      <c r="AV2" t="s">
        <v>622</v>
      </c>
      <c r="AW2" t="s">
        <v>605</v>
      </c>
      <c r="AX2" t="s">
        <v>623</v>
      </c>
      <c r="AY2" t="s">
        <v>624</v>
      </c>
      <c r="AZ2" t="s">
        <v>625</v>
      </c>
      <c r="BA2" t="s">
        <v>397</v>
      </c>
      <c r="BB2" t="s">
        <v>626</v>
      </c>
      <c r="BC2" t="s">
        <v>627</v>
      </c>
      <c r="BD2" t="s">
        <v>265</v>
      </c>
      <c r="BE2" t="s">
        <v>628</v>
      </c>
      <c r="BF2" t="s">
        <v>629</v>
      </c>
      <c r="BG2" t="s">
        <v>630</v>
      </c>
      <c r="BH2" t="s">
        <v>631</v>
      </c>
      <c r="BI2" t="s">
        <v>632</v>
      </c>
      <c r="BJ2" t="s">
        <v>633</v>
      </c>
      <c r="BK2" t="s">
        <v>634</v>
      </c>
      <c r="BL2" t="s">
        <v>635</v>
      </c>
      <c r="BM2" t="s">
        <v>636</v>
      </c>
      <c r="BN2" t="s">
        <v>637</v>
      </c>
      <c r="BO2" t="s">
        <v>415</v>
      </c>
      <c r="BP2" t="s">
        <v>638</v>
      </c>
      <c r="BQ2" t="s">
        <v>639</v>
      </c>
      <c r="BR2" t="s">
        <v>640</v>
      </c>
      <c r="BS2" t="s">
        <v>641</v>
      </c>
      <c r="BT2" t="s">
        <v>642</v>
      </c>
      <c r="BU2" t="s">
        <v>643</v>
      </c>
      <c r="BV2" t="s">
        <v>637</v>
      </c>
      <c r="BW2" t="s">
        <v>644</v>
      </c>
      <c r="BX2" t="s">
        <v>645</v>
      </c>
      <c r="BY2" t="s">
        <v>640</v>
      </c>
      <c r="BZ2" t="s">
        <v>271</v>
      </c>
      <c r="CA2" t="s">
        <v>268</v>
      </c>
      <c r="CB2" t="s">
        <v>646</v>
      </c>
      <c r="CC2" t="s">
        <v>647</v>
      </c>
      <c r="CD2" t="s">
        <v>648</v>
      </c>
      <c r="CE2" t="s">
        <v>397</v>
      </c>
      <c r="CF2" t="s">
        <v>649</v>
      </c>
      <c r="CG2" t="s">
        <v>650</v>
      </c>
      <c r="CH2" t="s">
        <v>628</v>
      </c>
      <c r="CI2" t="s">
        <v>651</v>
      </c>
      <c r="CJ2" t="s">
        <v>652</v>
      </c>
      <c r="CK2" t="s">
        <v>653</v>
      </c>
      <c r="CL2" t="s">
        <v>654</v>
      </c>
      <c r="CM2" t="s">
        <v>628</v>
      </c>
    </row>
    <row r="3" spans="1:91" x14ac:dyDescent="0.2">
      <c r="A3" t="s">
        <v>655</v>
      </c>
      <c r="B3" t="s">
        <v>656</v>
      </c>
      <c r="D3" t="s">
        <v>657</v>
      </c>
      <c r="E3" t="s">
        <v>658</v>
      </c>
      <c r="F3" t="s">
        <v>659</v>
      </c>
      <c r="G3" t="s">
        <v>660</v>
      </c>
      <c r="H3" t="s">
        <v>605</v>
      </c>
      <c r="I3" t="s">
        <v>661</v>
      </c>
      <c r="J3" t="s">
        <v>662</v>
      </c>
      <c r="K3" t="s">
        <v>663</v>
      </c>
      <c r="L3" t="s">
        <v>664</v>
      </c>
      <c r="M3" t="s">
        <v>655</v>
      </c>
      <c r="N3" t="s">
        <v>665</v>
      </c>
      <c r="O3" t="s">
        <v>666</v>
      </c>
      <c r="P3" t="s">
        <v>667</v>
      </c>
      <c r="Q3" t="s">
        <v>668</v>
      </c>
      <c r="R3" t="s">
        <v>669</v>
      </c>
      <c r="S3" t="s">
        <v>670</v>
      </c>
      <c r="T3" t="s">
        <v>671</v>
      </c>
      <c r="U3" t="s">
        <v>672</v>
      </c>
      <c r="V3" t="s">
        <v>673</v>
      </c>
      <c r="W3" t="s">
        <v>674</v>
      </c>
      <c r="X3" t="s">
        <v>675</v>
      </c>
      <c r="Y3" t="s">
        <v>676</v>
      </c>
      <c r="Z3" t="s">
        <v>677</v>
      </c>
      <c r="AA3" t="s">
        <v>678</v>
      </c>
      <c r="AB3" t="s">
        <v>679</v>
      </c>
      <c r="AC3" t="s">
        <v>655</v>
      </c>
      <c r="AD3" t="s">
        <v>680</v>
      </c>
      <c r="AE3" t="s">
        <v>681</v>
      </c>
      <c r="AG3" t="s">
        <v>682</v>
      </c>
      <c r="AH3" t="s">
        <v>683</v>
      </c>
      <c r="AI3" t="s">
        <v>684</v>
      </c>
      <c r="AJ3" t="s">
        <v>685</v>
      </c>
      <c r="AK3" t="s">
        <v>686</v>
      </c>
      <c r="AL3" t="s">
        <v>687</v>
      </c>
      <c r="AM3" t="s">
        <v>688</v>
      </c>
      <c r="AN3" t="s">
        <v>689</v>
      </c>
      <c r="AO3" t="s">
        <v>690</v>
      </c>
      <c r="AP3" t="s">
        <v>691</v>
      </c>
      <c r="AQ3" t="s">
        <v>692</v>
      </c>
      <c r="AR3" t="s">
        <v>693</v>
      </c>
      <c r="AS3" t="s">
        <v>694</v>
      </c>
      <c r="AT3" t="s">
        <v>695</v>
      </c>
      <c r="AU3" t="s">
        <v>682</v>
      </c>
      <c r="AV3" t="s">
        <v>696</v>
      </c>
      <c r="AW3" t="s">
        <v>697</v>
      </c>
      <c r="AX3" t="s">
        <v>684</v>
      </c>
      <c r="AY3" t="s">
        <v>698</v>
      </c>
      <c r="AZ3" t="s">
        <v>699</v>
      </c>
      <c r="BA3" t="s">
        <v>700</v>
      </c>
      <c r="BB3" t="s">
        <v>701</v>
      </c>
      <c r="BC3" t="s">
        <v>669</v>
      </c>
      <c r="BE3" t="s">
        <v>681</v>
      </c>
      <c r="BF3" t="s">
        <v>702</v>
      </c>
      <c r="BG3" t="s">
        <v>703</v>
      </c>
      <c r="BH3" t="s">
        <v>682</v>
      </c>
      <c r="BI3" t="s">
        <v>660</v>
      </c>
      <c r="BJ3" t="s">
        <v>605</v>
      </c>
      <c r="BK3" t="s">
        <v>704</v>
      </c>
      <c r="BL3" t="s">
        <v>705</v>
      </c>
      <c r="BM3" t="s">
        <v>706</v>
      </c>
      <c r="BN3" t="s">
        <v>707</v>
      </c>
      <c r="BP3" t="s">
        <v>708</v>
      </c>
      <c r="BQ3" t="s">
        <v>709</v>
      </c>
      <c r="BR3" t="s">
        <v>710</v>
      </c>
      <c r="BS3" t="s">
        <v>711</v>
      </c>
      <c r="BT3" t="s">
        <v>712</v>
      </c>
      <c r="BU3" t="s">
        <v>713</v>
      </c>
      <c r="BV3" t="s">
        <v>714</v>
      </c>
      <c r="BW3" t="s">
        <v>658</v>
      </c>
      <c r="BX3" t="s">
        <v>715</v>
      </c>
      <c r="BY3" t="s">
        <v>716</v>
      </c>
      <c r="CB3" t="s">
        <v>717</v>
      </c>
      <c r="CC3" t="s">
        <v>718</v>
      </c>
      <c r="CD3" t="s">
        <v>672</v>
      </c>
      <c r="CE3" t="s">
        <v>719</v>
      </c>
      <c r="CF3" t="s">
        <v>720</v>
      </c>
      <c r="CG3" t="s">
        <v>669</v>
      </c>
      <c r="CH3" t="s">
        <v>681</v>
      </c>
      <c r="CI3" t="s">
        <v>672</v>
      </c>
      <c r="CJ3" t="s">
        <v>721</v>
      </c>
      <c r="CK3" t="s">
        <v>722</v>
      </c>
      <c r="CL3" t="s">
        <v>723</v>
      </c>
      <c r="CM3" t="s">
        <v>724</v>
      </c>
    </row>
    <row r="4" spans="1:91" x14ac:dyDescent="0.2">
      <c r="A4" t="s">
        <v>725</v>
      </c>
      <c r="B4" t="s">
        <v>726</v>
      </c>
      <c r="D4" t="s">
        <v>719</v>
      </c>
      <c r="F4" t="s">
        <v>727</v>
      </c>
      <c r="H4" t="s">
        <v>728</v>
      </c>
      <c r="L4" t="s">
        <v>719</v>
      </c>
      <c r="M4" t="s">
        <v>729</v>
      </c>
      <c r="N4" t="s">
        <v>730</v>
      </c>
      <c r="O4" t="s">
        <v>731</v>
      </c>
      <c r="R4" t="s">
        <v>732</v>
      </c>
      <c r="S4" t="s">
        <v>733</v>
      </c>
      <c r="T4" t="s">
        <v>734</v>
      </c>
      <c r="U4" t="s">
        <v>735</v>
      </c>
      <c r="V4" t="s">
        <v>736</v>
      </c>
      <c r="Z4" t="s">
        <v>737</v>
      </c>
      <c r="AG4" t="s">
        <v>738</v>
      </c>
      <c r="AI4" t="s">
        <v>739</v>
      </c>
      <c r="AL4" t="s">
        <v>740</v>
      </c>
      <c r="AM4" t="s">
        <v>741</v>
      </c>
      <c r="AN4" t="s">
        <v>682</v>
      </c>
      <c r="AT4" t="s">
        <v>660</v>
      </c>
      <c r="AW4" t="s">
        <v>742</v>
      </c>
      <c r="BB4" t="s">
        <v>682</v>
      </c>
      <c r="BC4" t="s">
        <v>678</v>
      </c>
      <c r="BI4" t="s">
        <v>743</v>
      </c>
      <c r="BJ4" t="s">
        <v>744</v>
      </c>
      <c r="BL4" t="s">
        <v>745</v>
      </c>
      <c r="BS4" t="s">
        <v>746</v>
      </c>
      <c r="BT4" t="s">
        <v>747</v>
      </c>
      <c r="BX4" t="s">
        <v>748</v>
      </c>
      <c r="CC4" t="s">
        <v>749</v>
      </c>
      <c r="CD4" t="s">
        <v>750</v>
      </c>
      <c r="CK4" t="s">
        <v>672</v>
      </c>
      <c r="CL4" t="s">
        <v>751</v>
      </c>
    </row>
    <row r="5" spans="1:91" x14ac:dyDescent="0.2">
      <c r="H5" t="s">
        <v>752</v>
      </c>
      <c r="L5" t="s">
        <v>605</v>
      </c>
      <c r="M5" t="s">
        <v>753</v>
      </c>
      <c r="R5" t="s">
        <v>754</v>
      </c>
      <c r="S5" t="s">
        <v>755</v>
      </c>
      <c r="V5" t="s">
        <v>756</v>
      </c>
      <c r="CK5" t="s">
        <v>719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2"/>
  <sheetViews>
    <sheetView workbookViewId="0"/>
  </sheetViews>
  <sheetFormatPr defaultColWidth="9.140625" defaultRowHeight="12.75" x14ac:dyDescent="0.2"/>
  <sheetData>
    <row r="1" spans="1:2" x14ac:dyDescent="0.2">
      <c r="A1" t="s">
        <v>14</v>
      </c>
      <c r="B1" t="s">
        <v>757</v>
      </c>
    </row>
    <row r="2" spans="1:2" x14ac:dyDescent="0.2">
      <c r="A2" t="s">
        <v>219</v>
      </c>
      <c r="B2" t="s">
        <v>758</v>
      </c>
    </row>
    <row r="3" spans="1:2" x14ac:dyDescent="0.2">
      <c r="A3" t="s">
        <v>319</v>
      </c>
      <c r="B3" t="s">
        <v>759</v>
      </c>
    </row>
    <row r="4" spans="1:2" x14ac:dyDescent="0.2">
      <c r="A4" t="s">
        <v>410</v>
      </c>
      <c r="B4" t="s">
        <v>760</v>
      </c>
    </row>
    <row r="5" spans="1:2" x14ac:dyDescent="0.2">
      <c r="A5" t="s">
        <v>336</v>
      </c>
      <c r="B5" t="s">
        <v>761</v>
      </c>
    </row>
    <row r="6" spans="1:2" x14ac:dyDescent="0.2">
      <c r="A6" t="s">
        <v>458</v>
      </c>
      <c r="B6" t="s">
        <v>762</v>
      </c>
    </row>
    <row r="7" spans="1:2" x14ac:dyDescent="0.2">
      <c r="A7" t="s">
        <v>256</v>
      </c>
      <c r="B7" t="s">
        <v>763</v>
      </c>
    </row>
    <row r="8" spans="1:2" x14ac:dyDescent="0.2">
      <c r="A8" t="s">
        <v>391</v>
      </c>
      <c r="B8" t="s">
        <v>764</v>
      </c>
    </row>
    <row r="9" spans="1:2" x14ac:dyDescent="0.2">
      <c r="A9" t="s">
        <v>206</v>
      </c>
      <c r="B9" t="s">
        <v>765</v>
      </c>
    </row>
    <row r="10" spans="1:2" x14ac:dyDescent="0.2">
      <c r="A10" t="s">
        <v>167</v>
      </c>
      <c r="B10" t="s">
        <v>766</v>
      </c>
    </row>
    <row r="11" spans="1:2" x14ac:dyDescent="0.2">
      <c r="A11" t="s">
        <v>418</v>
      </c>
      <c r="B11" t="s">
        <v>767</v>
      </c>
    </row>
    <row r="12" spans="1:2" x14ac:dyDescent="0.2">
      <c r="A12" t="s">
        <v>447</v>
      </c>
      <c r="B12" t="s">
        <v>768</v>
      </c>
    </row>
    <row r="13" spans="1:2" x14ac:dyDescent="0.2">
      <c r="A13" t="s">
        <v>216</v>
      </c>
      <c r="B13" t="s">
        <v>769</v>
      </c>
    </row>
    <row r="14" spans="1:2" x14ac:dyDescent="0.2">
      <c r="A14" t="s">
        <v>201</v>
      </c>
      <c r="B14" t="s">
        <v>770</v>
      </c>
    </row>
    <row r="15" spans="1:2" x14ac:dyDescent="0.2">
      <c r="A15" t="s">
        <v>287</v>
      </c>
      <c r="B15" t="s">
        <v>771</v>
      </c>
    </row>
    <row r="16" spans="1:2" x14ac:dyDescent="0.2">
      <c r="A16" t="s">
        <v>298</v>
      </c>
      <c r="B16" t="s">
        <v>772</v>
      </c>
    </row>
    <row r="17" spans="1:2" x14ac:dyDescent="0.2">
      <c r="A17" t="s">
        <v>332</v>
      </c>
      <c r="B17" t="s">
        <v>773</v>
      </c>
    </row>
    <row r="18" spans="1:2" x14ac:dyDescent="0.2">
      <c r="A18" t="s">
        <v>363</v>
      </c>
      <c r="B18" t="s">
        <v>774</v>
      </c>
    </row>
    <row r="19" spans="1:2" x14ac:dyDescent="0.2">
      <c r="A19" t="s">
        <v>225</v>
      </c>
      <c r="B19" t="s">
        <v>775</v>
      </c>
    </row>
    <row r="20" spans="1:2" x14ac:dyDescent="0.2">
      <c r="A20" t="s">
        <v>205</v>
      </c>
      <c r="B20" t="s">
        <v>776</v>
      </c>
    </row>
    <row r="21" spans="1:2" x14ac:dyDescent="0.2">
      <c r="A21" t="s">
        <v>209</v>
      </c>
      <c r="B21" t="s">
        <v>777</v>
      </c>
    </row>
    <row r="22" spans="1:2" x14ac:dyDescent="0.2">
      <c r="A22" t="s">
        <v>265</v>
      </c>
      <c r="B22" t="s">
        <v>778</v>
      </c>
    </row>
    <row r="23" spans="1:2" x14ac:dyDescent="0.2">
      <c r="A23" t="s">
        <v>262</v>
      </c>
      <c r="B23" t="s">
        <v>779</v>
      </c>
    </row>
    <row r="24" spans="1:2" x14ac:dyDescent="0.2">
      <c r="A24" t="s">
        <v>326</v>
      </c>
      <c r="B24" t="s">
        <v>780</v>
      </c>
    </row>
    <row r="25" spans="1:2" x14ac:dyDescent="0.2">
      <c r="A25" t="s">
        <v>385</v>
      </c>
      <c r="B25" t="s">
        <v>781</v>
      </c>
    </row>
    <row r="26" spans="1:2" x14ac:dyDescent="0.2">
      <c r="A26" t="s">
        <v>360</v>
      </c>
      <c r="B26" t="s">
        <v>782</v>
      </c>
    </row>
    <row r="27" spans="1:2" x14ac:dyDescent="0.2">
      <c r="A27" t="s">
        <v>357</v>
      </c>
      <c r="B27" t="s">
        <v>783</v>
      </c>
    </row>
    <row r="28" spans="1:2" x14ac:dyDescent="0.2">
      <c r="A28" t="s">
        <v>394</v>
      </c>
      <c r="B28" t="s">
        <v>784</v>
      </c>
    </row>
    <row r="29" spans="1:2" x14ac:dyDescent="0.2">
      <c r="A29" t="s">
        <v>434</v>
      </c>
      <c r="B29" t="s">
        <v>785</v>
      </c>
    </row>
    <row r="30" spans="1:2" x14ac:dyDescent="0.2">
      <c r="A30" t="s">
        <v>343</v>
      </c>
      <c r="B30" t="s">
        <v>786</v>
      </c>
    </row>
    <row r="31" spans="1:2" x14ac:dyDescent="0.2">
      <c r="A31" t="s">
        <v>455</v>
      </c>
      <c r="B31" t="s">
        <v>787</v>
      </c>
    </row>
    <row r="32" spans="1:2" x14ac:dyDescent="0.2">
      <c r="A32" t="s">
        <v>401</v>
      </c>
      <c r="B32" t="s">
        <v>788</v>
      </c>
    </row>
    <row r="33" spans="1:2" x14ac:dyDescent="0.2">
      <c r="A33" t="s">
        <v>465</v>
      </c>
      <c r="B33" t="s">
        <v>789</v>
      </c>
    </row>
    <row r="34" spans="1:2" x14ac:dyDescent="0.2">
      <c r="A34" t="s">
        <v>283</v>
      </c>
      <c r="B34" t="s">
        <v>790</v>
      </c>
    </row>
    <row r="35" spans="1:2" x14ac:dyDescent="0.2">
      <c r="A35" t="s">
        <v>438</v>
      </c>
      <c r="B35" t="s">
        <v>791</v>
      </c>
    </row>
    <row r="36" spans="1:2" x14ac:dyDescent="0.2">
      <c r="A36" t="s">
        <v>222</v>
      </c>
      <c r="B36" t="s">
        <v>792</v>
      </c>
    </row>
    <row r="37" spans="1:2" x14ac:dyDescent="0.2">
      <c r="A37" t="s">
        <v>370</v>
      </c>
      <c r="B37" t="s">
        <v>793</v>
      </c>
    </row>
    <row r="38" spans="1:2" x14ac:dyDescent="0.2">
      <c r="A38" t="s">
        <v>372</v>
      </c>
      <c r="B38" t="s">
        <v>794</v>
      </c>
    </row>
    <row r="39" spans="1:2" x14ac:dyDescent="0.2">
      <c r="A39" t="s">
        <v>301</v>
      </c>
      <c r="B39" t="s">
        <v>795</v>
      </c>
    </row>
    <row r="40" spans="1:2" x14ac:dyDescent="0.2">
      <c r="A40" t="s">
        <v>339</v>
      </c>
      <c r="B40" t="s">
        <v>796</v>
      </c>
    </row>
    <row r="41" spans="1:2" x14ac:dyDescent="0.2">
      <c r="A41" t="s">
        <v>426</v>
      </c>
      <c r="B41" t="s">
        <v>797</v>
      </c>
    </row>
    <row r="42" spans="1:2" x14ac:dyDescent="0.2">
      <c r="A42" t="s">
        <v>311</v>
      </c>
      <c r="B42" t="s">
        <v>798</v>
      </c>
    </row>
    <row r="43" spans="1:2" x14ac:dyDescent="0.2">
      <c r="A43" t="s">
        <v>345</v>
      </c>
      <c r="B43" t="s">
        <v>799</v>
      </c>
    </row>
    <row r="44" spans="1:2" x14ac:dyDescent="0.2">
      <c r="A44" t="s">
        <v>295</v>
      </c>
      <c r="B44" t="s">
        <v>800</v>
      </c>
    </row>
    <row r="45" spans="1:2" x14ac:dyDescent="0.2">
      <c r="A45" t="s">
        <v>329</v>
      </c>
      <c r="B45" t="s">
        <v>801</v>
      </c>
    </row>
    <row r="46" spans="1:2" x14ac:dyDescent="0.2">
      <c r="A46" t="s">
        <v>436</v>
      </c>
      <c r="B46" t="s">
        <v>802</v>
      </c>
    </row>
    <row r="47" spans="1:2" x14ac:dyDescent="0.2">
      <c r="A47" t="s">
        <v>253</v>
      </c>
      <c r="B47" t="s">
        <v>803</v>
      </c>
    </row>
    <row r="48" spans="1:2" x14ac:dyDescent="0.2">
      <c r="A48" t="s">
        <v>440</v>
      </c>
      <c r="B48" t="s">
        <v>804</v>
      </c>
    </row>
    <row r="49" spans="1:2" x14ac:dyDescent="0.2">
      <c r="A49" t="s">
        <v>398</v>
      </c>
      <c r="B49" t="s">
        <v>805</v>
      </c>
    </row>
    <row r="50" spans="1:2" x14ac:dyDescent="0.2">
      <c r="A50" t="s">
        <v>228</v>
      </c>
      <c r="B50" t="s">
        <v>806</v>
      </c>
    </row>
    <row r="51" spans="1:2" x14ac:dyDescent="0.2">
      <c r="A51" t="s">
        <v>293</v>
      </c>
      <c r="B51" t="s">
        <v>807</v>
      </c>
    </row>
    <row r="52" spans="1:2" x14ac:dyDescent="0.2">
      <c r="A52" t="s">
        <v>428</v>
      </c>
      <c r="B52" t="s">
        <v>808</v>
      </c>
    </row>
    <row r="53" spans="1:2" x14ac:dyDescent="0.2">
      <c r="A53" t="s">
        <v>378</v>
      </c>
      <c r="B53" t="s">
        <v>809</v>
      </c>
    </row>
    <row r="54" spans="1:2" x14ac:dyDescent="0.2">
      <c r="A54" t="s">
        <v>407</v>
      </c>
      <c r="B54" t="s">
        <v>810</v>
      </c>
    </row>
    <row r="55" spans="1:2" x14ac:dyDescent="0.2">
      <c r="A55" t="s">
        <v>305</v>
      </c>
      <c r="B55" t="s">
        <v>811</v>
      </c>
    </row>
    <row r="56" spans="1:2" x14ac:dyDescent="0.2">
      <c r="A56" t="s">
        <v>281</v>
      </c>
      <c r="B56" t="s">
        <v>812</v>
      </c>
    </row>
    <row r="57" spans="1:2" x14ac:dyDescent="0.2">
      <c r="A57" t="s">
        <v>53</v>
      </c>
      <c r="B57" t="s">
        <v>813</v>
      </c>
    </row>
    <row r="58" spans="1:2" x14ac:dyDescent="0.2">
      <c r="A58" t="s">
        <v>404</v>
      </c>
      <c r="B58" t="s">
        <v>814</v>
      </c>
    </row>
    <row r="59" spans="1:2" x14ac:dyDescent="0.2">
      <c r="A59" t="s">
        <v>313</v>
      </c>
      <c r="B59" t="s">
        <v>815</v>
      </c>
    </row>
    <row r="60" spans="1:2" x14ac:dyDescent="0.2">
      <c r="A60" t="s">
        <v>271</v>
      </c>
      <c r="B60" t="s">
        <v>816</v>
      </c>
    </row>
    <row r="61" spans="1:2" x14ac:dyDescent="0.2">
      <c r="A61" t="s">
        <v>445</v>
      </c>
      <c r="B61" t="s">
        <v>817</v>
      </c>
    </row>
    <row r="62" spans="1:2" x14ac:dyDescent="0.2">
      <c r="A62" t="s">
        <v>422</v>
      </c>
      <c r="B62" t="s">
        <v>818</v>
      </c>
    </row>
    <row r="63" spans="1:2" x14ac:dyDescent="0.2">
      <c r="A63" t="s">
        <v>259</v>
      </c>
      <c r="B63" t="s">
        <v>819</v>
      </c>
    </row>
    <row r="64" spans="1:2" x14ac:dyDescent="0.2">
      <c r="A64" t="s">
        <v>347</v>
      </c>
      <c r="B64" t="s">
        <v>820</v>
      </c>
    </row>
    <row r="65" spans="1:2" x14ac:dyDescent="0.2">
      <c r="A65" t="s">
        <v>322</v>
      </c>
      <c r="B65" t="s">
        <v>821</v>
      </c>
    </row>
    <row r="66" spans="1:2" x14ac:dyDescent="0.2">
      <c r="A66" t="s">
        <v>290</v>
      </c>
      <c r="B66" t="s">
        <v>822</v>
      </c>
    </row>
    <row r="67" spans="1:2" x14ac:dyDescent="0.2">
      <c r="A67" t="s">
        <v>431</v>
      </c>
      <c r="B67" t="s">
        <v>823</v>
      </c>
    </row>
    <row r="68" spans="1:2" x14ac:dyDescent="0.2">
      <c r="A68" t="s">
        <v>413</v>
      </c>
      <c r="B68" t="s">
        <v>824</v>
      </c>
    </row>
    <row r="69" spans="1:2" x14ac:dyDescent="0.2">
      <c r="A69" t="s">
        <v>367</v>
      </c>
      <c r="B69" t="s">
        <v>825</v>
      </c>
    </row>
    <row r="70" spans="1:2" x14ac:dyDescent="0.2">
      <c r="A70" t="s">
        <v>382</v>
      </c>
      <c r="B70" t="s">
        <v>826</v>
      </c>
    </row>
    <row r="71" spans="1:2" x14ac:dyDescent="0.2">
      <c r="A71" t="s">
        <v>316</v>
      </c>
      <c r="B71" t="s">
        <v>827</v>
      </c>
    </row>
    <row r="72" spans="1:2" x14ac:dyDescent="0.2">
      <c r="A72" t="s">
        <v>242</v>
      </c>
      <c r="B72" t="s">
        <v>828</v>
      </c>
    </row>
    <row r="73" spans="1:2" x14ac:dyDescent="0.2">
      <c r="A73" t="s">
        <v>246</v>
      </c>
      <c r="B73" t="s">
        <v>829</v>
      </c>
    </row>
    <row r="74" spans="1:2" x14ac:dyDescent="0.2">
      <c r="A74" t="s">
        <v>268</v>
      </c>
      <c r="B74" t="s">
        <v>830</v>
      </c>
    </row>
    <row r="75" spans="1:2" x14ac:dyDescent="0.2">
      <c r="A75" t="s">
        <v>443</v>
      </c>
      <c r="B75" t="s">
        <v>831</v>
      </c>
    </row>
    <row r="76" spans="1:2" x14ac:dyDescent="0.2">
      <c r="A76" t="s">
        <v>451</v>
      </c>
      <c r="B76" t="s">
        <v>832</v>
      </c>
    </row>
    <row r="77" spans="1:2" x14ac:dyDescent="0.2">
      <c r="A77" t="s">
        <v>172</v>
      </c>
      <c r="B77" t="s">
        <v>833</v>
      </c>
    </row>
    <row r="78" spans="1:2" x14ac:dyDescent="0.2">
      <c r="A78" t="s">
        <v>353</v>
      </c>
      <c r="B78" t="s">
        <v>834</v>
      </c>
    </row>
    <row r="79" spans="1:2" x14ac:dyDescent="0.2">
      <c r="A79" t="s">
        <v>51</v>
      </c>
      <c r="B79" t="s">
        <v>835</v>
      </c>
    </row>
    <row r="80" spans="1:2" x14ac:dyDescent="0.2">
      <c r="A80" t="s">
        <v>52</v>
      </c>
      <c r="B80" t="s">
        <v>836</v>
      </c>
    </row>
    <row r="81" spans="1:2" x14ac:dyDescent="0.2">
      <c r="A81" t="s">
        <v>308</v>
      </c>
      <c r="B81" t="s">
        <v>837</v>
      </c>
    </row>
    <row r="82" spans="1:2" x14ac:dyDescent="0.2">
      <c r="A82" t="s">
        <v>249</v>
      </c>
      <c r="B82" t="s">
        <v>838</v>
      </c>
    </row>
    <row r="83" spans="1:2" x14ac:dyDescent="0.2">
      <c r="A83" t="s">
        <v>231</v>
      </c>
      <c r="B83" t="s">
        <v>839</v>
      </c>
    </row>
    <row r="84" spans="1:2" x14ac:dyDescent="0.2">
      <c r="A84" t="s">
        <v>416</v>
      </c>
      <c r="B84" t="s">
        <v>840</v>
      </c>
    </row>
    <row r="85" spans="1:2" x14ac:dyDescent="0.2">
      <c r="A85" t="s">
        <v>278</v>
      </c>
      <c r="B85" t="s">
        <v>841</v>
      </c>
    </row>
    <row r="86" spans="1:2" x14ac:dyDescent="0.2">
      <c r="A86" t="s">
        <v>375</v>
      </c>
      <c r="B86" t="s">
        <v>842</v>
      </c>
    </row>
    <row r="87" spans="1:2" x14ac:dyDescent="0.2">
      <c r="A87" t="s">
        <v>421</v>
      </c>
      <c r="B87" t="s">
        <v>843</v>
      </c>
    </row>
    <row r="88" spans="1:2" x14ac:dyDescent="0.2">
      <c r="A88" t="s">
        <v>388</v>
      </c>
      <c r="B88" t="s">
        <v>844</v>
      </c>
    </row>
    <row r="89" spans="1:2" x14ac:dyDescent="0.2">
      <c r="A89" t="s">
        <v>461</v>
      </c>
      <c r="B89" t="s">
        <v>845</v>
      </c>
    </row>
    <row r="90" spans="1:2" x14ac:dyDescent="0.2">
      <c r="A90" t="s">
        <v>274</v>
      </c>
      <c r="B90" t="s">
        <v>846</v>
      </c>
    </row>
    <row r="91" spans="1:2" x14ac:dyDescent="0.2">
      <c r="A91" t="s">
        <v>238</v>
      </c>
      <c r="B91" t="s">
        <v>847</v>
      </c>
    </row>
    <row r="92" spans="1:2" x14ac:dyDescent="0.2">
      <c r="A92" t="s">
        <v>350</v>
      </c>
      <c r="B92" t="s">
        <v>848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J5"/>
  <sheetViews>
    <sheetView workbookViewId="0"/>
  </sheetViews>
  <sheetFormatPr defaultColWidth="9.140625" defaultRowHeight="12.75" x14ac:dyDescent="0.2"/>
  <sheetData>
    <row r="1" spans="1:88"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404</v>
      </c>
      <c r="BE1" t="s">
        <v>313</v>
      </c>
      <c r="BF1" t="s">
        <v>271</v>
      </c>
      <c r="BG1" t="s">
        <v>445</v>
      </c>
      <c r="BH1" t="s">
        <v>422</v>
      </c>
      <c r="BI1" t="s">
        <v>259</v>
      </c>
      <c r="BJ1" t="s">
        <v>347</v>
      </c>
      <c r="BK1" t="s">
        <v>322</v>
      </c>
      <c r="BL1" t="s">
        <v>290</v>
      </c>
      <c r="BM1" t="s">
        <v>431</v>
      </c>
      <c r="BN1" t="s">
        <v>413</v>
      </c>
      <c r="BO1" t="s">
        <v>367</v>
      </c>
      <c r="BP1" t="s">
        <v>382</v>
      </c>
      <c r="BQ1" t="s">
        <v>316</v>
      </c>
      <c r="BR1" t="s">
        <v>242</v>
      </c>
      <c r="BS1" t="s">
        <v>246</v>
      </c>
      <c r="BT1" t="s">
        <v>268</v>
      </c>
      <c r="BU1" t="s">
        <v>443</v>
      </c>
      <c r="BV1" t="s">
        <v>451</v>
      </c>
      <c r="BW1" t="s">
        <v>172</v>
      </c>
      <c r="BX1" t="s">
        <v>353</v>
      </c>
      <c r="BY1" t="s">
        <v>308</v>
      </c>
      <c r="BZ1" t="s">
        <v>249</v>
      </c>
      <c r="CA1" t="s">
        <v>231</v>
      </c>
      <c r="CB1" t="s">
        <v>416</v>
      </c>
      <c r="CC1" t="s">
        <v>278</v>
      </c>
      <c r="CD1" t="s">
        <v>375</v>
      </c>
      <c r="CE1" t="s">
        <v>421</v>
      </c>
      <c r="CF1" t="s">
        <v>388</v>
      </c>
      <c r="CG1" t="s">
        <v>461</v>
      </c>
      <c r="CH1" t="s">
        <v>274</v>
      </c>
      <c r="CI1" t="s">
        <v>238</v>
      </c>
      <c r="CJ1" t="s">
        <v>350</v>
      </c>
    </row>
    <row r="2" spans="1:88" x14ac:dyDescent="0.2">
      <c r="A2" t="s">
        <v>618</v>
      </c>
      <c r="B2" t="s">
        <v>618</v>
      </c>
      <c r="C2" t="s">
        <v>618</v>
      </c>
      <c r="D2" t="s">
        <v>618</v>
      </c>
      <c r="E2" t="s">
        <v>849</v>
      </c>
      <c r="F2" t="s">
        <v>618</v>
      </c>
      <c r="G2" t="s">
        <v>618</v>
      </c>
      <c r="H2" t="s">
        <v>618</v>
      </c>
      <c r="I2" t="s">
        <v>850</v>
      </c>
      <c r="J2" t="s">
        <v>618</v>
      </c>
      <c r="K2" t="s">
        <v>851</v>
      </c>
      <c r="L2" t="s">
        <v>618</v>
      </c>
      <c r="M2" t="s">
        <v>852</v>
      </c>
      <c r="N2" t="s">
        <v>853</v>
      </c>
      <c r="O2" t="s">
        <v>854</v>
      </c>
      <c r="P2" t="s">
        <v>855</v>
      </c>
      <c r="Q2" t="s">
        <v>856</v>
      </c>
      <c r="R2" t="s">
        <v>854</v>
      </c>
      <c r="S2" t="s">
        <v>854</v>
      </c>
      <c r="T2" t="s">
        <v>857</v>
      </c>
      <c r="U2" t="s">
        <v>618</v>
      </c>
      <c r="V2" t="s">
        <v>857</v>
      </c>
      <c r="W2" t="s">
        <v>618</v>
      </c>
      <c r="X2" t="s">
        <v>618</v>
      </c>
      <c r="Y2" t="s">
        <v>850</v>
      </c>
      <c r="Z2" t="s">
        <v>850</v>
      </c>
      <c r="AA2" t="s">
        <v>618</v>
      </c>
      <c r="AB2" t="s">
        <v>858</v>
      </c>
      <c r="AC2" t="s">
        <v>852</v>
      </c>
      <c r="AD2" t="s">
        <v>849</v>
      </c>
      <c r="AE2" t="s">
        <v>618</v>
      </c>
      <c r="AF2" t="s">
        <v>859</v>
      </c>
      <c r="AG2" t="s">
        <v>853</v>
      </c>
      <c r="AH2" t="s">
        <v>860</v>
      </c>
      <c r="AI2" t="s">
        <v>618</v>
      </c>
      <c r="AJ2" t="s">
        <v>618</v>
      </c>
      <c r="AK2" t="s">
        <v>618</v>
      </c>
      <c r="AL2" t="s">
        <v>858</v>
      </c>
      <c r="AM2" t="s">
        <v>858</v>
      </c>
      <c r="AN2" t="s">
        <v>853</v>
      </c>
      <c r="AO2" t="s">
        <v>618</v>
      </c>
      <c r="AP2" t="s">
        <v>854</v>
      </c>
      <c r="AQ2" t="s">
        <v>857</v>
      </c>
      <c r="AR2" t="s">
        <v>860</v>
      </c>
      <c r="AS2" t="s">
        <v>618</v>
      </c>
      <c r="AT2" t="s">
        <v>618</v>
      </c>
      <c r="AU2" t="s">
        <v>618</v>
      </c>
      <c r="AV2" t="s">
        <v>618</v>
      </c>
      <c r="AW2" t="s">
        <v>618</v>
      </c>
      <c r="AX2" t="s">
        <v>618</v>
      </c>
      <c r="AY2" t="s">
        <v>858</v>
      </c>
      <c r="AZ2" t="s">
        <v>618</v>
      </c>
      <c r="BA2" t="s">
        <v>618</v>
      </c>
      <c r="BB2" t="s">
        <v>618</v>
      </c>
      <c r="BC2" t="s">
        <v>854</v>
      </c>
      <c r="BD2" t="s">
        <v>618</v>
      </c>
      <c r="BE2" t="s">
        <v>854</v>
      </c>
      <c r="BF2" t="s">
        <v>854</v>
      </c>
      <c r="BG2" t="s">
        <v>618</v>
      </c>
      <c r="BH2" t="s">
        <v>861</v>
      </c>
      <c r="BI2" t="s">
        <v>618</v>
      </c>
      <c r="BJ2" t="s">
        <v>618</v>
      </c>
      <c r="BK2" t="s">
        <v>861</v>
      </c>
      <c r="BL2" t="s">
        <v>618</v>
      </c>
      <c r="BM2" t="s">
        <v>853</v>
      </c>
      <c r="BN2" t="s">
        <v>618</v>
      </c>
      <c r="BO2" t="s">
        <v>618</v>
      </c>
      <c r="BP2" t="s">
        <v>618</v>
      </c>
      <c r="BQ2" t="s">
        <v>618</v>
      </c>
      <c r="BR2" t="s">
        <v>862</v>
      </c>
      <c r="BS2" t="s">
        <v>862</v>
      </c>
      <c r="BT2" t="s">
        <v>618</v>
      </c>
      <c r="BU2" t="s">
        <v>853</v>
      </c>
      <c r="BV2" t="s">
        <v>849</v>
      </c>
      <c r="BW2" t="s">
        <v>237</v>
      </c>
      <c r="BX2" t="s">
        <v>237</v>
      </c>
      <c r="BY2" t="s">
        <v>850</v>
      </c>
      <c r="BZ2" t="s">
        <v>860</v>
      </c>
      <c r="CA2" t="s">
        <v>858</v>
      </c>
      <c r="CB2" t="s">
        <v>618</v>
      </c>
      <c r="CC2" t="s">
        <v>857</v>
      </c>
      <c r="CD2" t="s">
        <v>618</v>
      </c>
      <c r="CE2" t="s">
        <v>618</v>
      </c>
      <c r="CF2" t="s">
        <v>618</v>
      </c>
      <c r="CG2" t="s">
        <v>849</v>
      </c>
      <c r="CH2" t="s">
        <v>863</v>
      </c>
      <c r="CI2" t="s">
        <v>241</v>
      </c>
      <c r="CJ2" t="s">
        <v>241</v>
      </c>
    </row>
    <row r="3" spans="1:88" x14ac:dyDescent="0.2">
      <c r="A3" t="s">
        <v>864</v>
      </c>
      <c r="B3" t="s">
        <v>864</v>
      </c>
      <c r="C3" t="s">
        <v>864</v>
      </c>
      <c r="D3" t="s">
        <v>864</v>
      </c>
      <c r="E3" t="s">
        <v>865</v>
      </c>
      <c r="F3" t="s">
        <v>864</v>
      </c>
      <c r="G3" t="s">
        <v>864</v>
      </c>
      <c r="H3" t="s">
        <v>864</v>
      </c>
      <c r="I3" t="s">
        <v>866</v>
      </c>
      <c r="J3" t="s">
        <v>864</v>
      </c>
      <c r="K3" t="s">
        <v>867</v>
      </c>
      <c r="L3" t="s">
        <v>864</v>
      </c>
      <c r="M3" t="s">
        <v>868</v>
      </c>
      <c r="N3" t="s">
        <v>869</v>
      </c>
      <c r="O3" t="s">
        <v>870</v>
      </c>
      <c r="P3" t="s">
        <v>871</v>
      </c>
      <c r="Q3" t="s">
        <v>872</v>
      </c>
      <c r="R3" t="s">
        <v>870</v>
      </c>
      <c r="S3" t="s">
        <v>870</v>
      </c>
      <c r="T3" t="s">
        <v>873</v>
      </c>
      <c r="U3" t="s">
        <v>864</v>
      </c>
      <c r="V3" t="s">
        <v>873</v>
      </c>
      <c r="W3" t="s">
        <v>864</v>
      </c>
      <c r="X3" t="s">
        <v>864</v>
      </c>
      <c r="Y3" t="s">
        <v>866</v>
      </c>
      <c r="Z3" t="s">
        <v>866</v>
      </c>
      <c r="AA3" t="s">
        <v>864</v>
      </c>
      <c r="AB3" t="s">
        <v>874</v>
      </c>
      <c r="AC3" t="s">
        <v>868</v>
      </c>
      <c r="AD3" t="s">
        <v>865</v>
      </c>
      <c r="AE3" t="s">
        <v>864</v>
      </c>
      <c r="AG3" t="s">
        <v>869</v>
      </c>
      <c r="AH3" t="s">
        <v>875</v>
      </c>
      <c r="AI3" t="s">
        <v>864</v>
      </c>
      <c r="AJ3" t="s">
        <v>864</v>
      </c>
      <c r="AK3" t="s">
        <v>864</v>
      </c>
      <c r="AL3" t="s">
        <v>876</v>
      </c>
      <c r="AM3" t="s">
        <v>874</v>
      </c>
      <c r="AN3" t="s">
        <v>869</v>
      </c>
      <c r="AO3" t="s">
        <v>864</v>
      </c>
      <c r="AP3" t="s">
        <v>870</v>
      </c>
      <c r="AQ3" t="s">
        <v>873</v>
      </c>
      <c r="AR3" t="s">
        <v>875</v>
      </c>
      <c r="AS3" t="s">
        <v>864</v>
      </c>
      <c r="AT3" t="s">
        <v>864</v>
      </c>
      <c r="AU3" t="s">
        <v>864</v>
      </c>
      <c r="AV3" t="s">
        <v>864</v>
      </c>
      <c r="AW3" t="s">
        <v>864</v>
      </c>
      <c r="AX3" t="s">
        <v>864</v>
      </c>
      <c r="AY3" t="s">
        <v>874</v>
      </c>
      <c r="AZ3" t="s">
        <v>864</v>
      </c>
      <c r="BA3" t="s">
        <v>864</v>
      </c>
      <c r="BB3" t="s">
        <v>864</v>
      </c>
      <c r="BC3" t="s">
        <v>870</v>
      </c>
      <c r="BD3" t="s">
        <v>864</v>
      </c>
      <c r="BE3" t="s">
        <v>870</v>
      </c>
      <c r="BF3" t="s">
        <v>870</v>
      </c>
      <c r="BG3" t="s">
        <v>864</v>
      </c>
      <c r="BH3" t="s">
        <v>877</v>
      </c>
      <c r="BI3" t="s">
        <v>864</v>
      </c>
      <c r="BJ3" t="s">
        <v>864</v>
      </c>
      <c r="BK3" t="s">
        <v>877</v>
      </c>
      <c r="BL3" t="s">
        <v>864</v>
      </c>
      <c r="BM3" t="s">
        <v>869</v>
      </c>
      <c r="BN3" t="s">
        <v>864</v>
      </c>
      <c r="BO3" t="s">
        <v>864</v>
      </c>
      <c r="BP3" t="s">
        <v>864</v>
      </c>
      <c r="BQ3" t="s">
        <v>864</v>
      </c>
      <c r="BR3" t="s">
        <v>878</v>
      </c>
      <c r="BS3" t="s">
        <v>878</v>
      </c>
      <c r="BT3" t="s">
        <v>864</v>
      </c>
      <c r="BU3" t="s">
        <v>869</v>
      </c>
      <c r="BV3" t="s">
        <v>865</v>
      </c>
      <c r="BY3" t="s">
        <v>866</v>
      </c>
      <c r="BZ3" t="s">
        <v>875</v>
      </c>
      <c r="CA3" t="s">
        <v>874</v>
      </c>
      <c r="CB3" t="s">
        <v>864</v>
      </c>
      <c r="CC3" t="s">
        <v>873</v>
      </c>
      <c r="CD3" t="s">
        <v>864</v>
      </c>
      <c r="CE3" t="s">
        <v>864</v>
      </c>
      <c r="CF3" t="s">
        <v>864</v>
      </c>
      <c r="CG3" t="s">
        <v>865</v>
      </c>
      <c r="CH3" t="s">
        <v>879</v>
      </c>
    </row>
    <row r="4" spans="1:88" x14ac:dyDescent="0.2">
      <c r="A4" t="s">
        <v>880</v>
      </c>
      <c r="B4" t="s">
        <v>880</v>
      </c>
      <c r="C4" t="s">
        <v>880</v>
      </c>
      <c r="D4" t="s">
        <v>880</v>
      </c>
      <c r="F4" t="s">
        <v>880</v>
      </c>
      <c r="G4" t="s">
        <v>880</v>
      </c>
      <c r="H4" t="s">
        <v>880</v>
      </c>
      <c r="I4" t="s">
        <v>881</v>
      </c>
      <c r="J4" t="s">
        <v>880</v>
      </c>
      <c r="K4" t="s">
        <v>882</v>
      </c>
      <c r="L4" t="s">
        <v>880</v>
      </c>
      <c r="M4" t="s">
        <v>883</v>
      </c>
      <c r="N4" t="s">
        <v>884</v>
      </c>
      <c r="O4" t="s">
        <v>885</v>
      </c>
      <c r="Q4" t="s">
        <v>886</v>
      </c>
      <c r="R4" t="s">
        <v>885</v>
      </c>
      <c r="S4" t="s">
        <v>885</v>
      </c>
      <c r="T4" t="s">
        <v>887</v>
      </c>
      <c r="U4" t="s">
        <v>880</v>
      </c>
      <c r="V4" t="s">
        <v>887</v>
      </c>
      <c r="W4" t="s">
        <v>880</v>
      </c>
      <c r="X4" t="s">
        <v>880</v>
      </c>
      <c r="Y4" t="s">
        <v>881</v>
      </c>
      <c r="Z4" t="s">
        <v>881</v>
      </c>
      <c r="AA4" t="s">
        <v>880</v>
      </c>
      <c r="AB4" t="s">
        <v>888</v>
      </c>
      <c r="AC4" t="s">
        <v>883</v>
      </c>
      <c r="AE4" t="s">
        <v>880</v>
      </c>
      <c r="AG4" t="s">
        <v>884</v>
      </c>
      <c r="AH4" t="s">
        <v>879</v>
      </c>
      <c r="AI4" t="s">
        <v>880</v>
      </c>
      <c r="AJ4" t="s">
        <v>880</v>
      </c>
      <c r="AK4" t="s">
        <v>880</v>
      </c>
      <c r="AM4" t="s">
        <v>888</v>
      </c>
      <c r="AN4" t="s">
        <v>884</v>
      </c>
      <c r="AO4" t="s">
        <v>880</v>
      </c>
      <c r="AP4" t="s">
        <v>885</v>
      </c>
      <c r="AQ4" t="s">
        <v>887</v>
      </c>
      <c r="AR4" t="s">
        <v>879</v>
      </c>
      <c r="AS4" t="s">
        <v>880</v>
      </c>
      <c r="AT4" t="s">
        <v>880</v>
      </c>
      <c r="AU4" t="s">
        <v>880</v>
      </c>
      <c r="AV4" t="s">
        <v>880</v>
      </c>
      <c r="AW4" t="s">
        <v>880</v>
      </c>
      <c r="AX4" t="s">
        <v>880</v>
      </c>
      <c r="AY4" t="s">
        <v>888</v>
      </c>
      <c r="AZ4" t="s">
        <v>880</v>
      </c>
      <c r="BA4" t="s">
        <v>880</v>
      </c>
      <c r="BB4" t="s">
        <v>880</v>
      </c>
      <c r="BC4" t="s">
        <v>885</v>
      </c>
      <c r="BD4" t="s">
        <v>880</v>
      </c>
      <c r="BE4" t="s">
        <v>885</v>
      </c>
      <c r="BF4" t="s">
        <v>885</v>
      </c>
      <c r="BG4" t="s">
        <v>880</v>
      </c>
      <c r="BH4" t="s">
        <v>889</v>
      </c>
      <c r="BI4" t="s">
        <v>880</v>
      </c>
      <c r="BJ4" t="s">
        <v>880</v>
      </c>
      <c r="BK4" t="s">
        <v>889</v>
      </c>
      <c r="BL4" t="s">
        <v>880</v>
      </c>
      <c r="BM4" t="s">
        <v>884</v>
      </c>
      <c r="BN4" t="s">
        <v>880</v>
      </c>
      <c r="BO4" t="s">
        <v>880</v>
      </c>
      <c r="BP4" t="s">
        <v>880</v>
      </c>
      <c r="BQ4" t="s">
        <v>880</v>
      </c>
      <c r="BR4" t="s">
        <v>890</v>
      </c>
      <c r="BS4" t="s">
        <v>890</v>
      </c>
      <c r="BT4" t="s">
        <v>880</v>
      </c>
      <c r="BU4" t="s">
        <v>884</v>
      </c>
      <c r="BY4" t="s">
        <v>881</v>
      </c>
      <c r="BZ4" t="s">
        <v>879</v>
      </c>
      <c r="CA4" t="s">
        <v>888</v>
      </c>
      <c r="CB4" t="s">
        <v>880</v>
      </c>
      <c r="CC4" t="s">
        <v>887</v>
      </c>
      <c r="CD4" t="s">
        <v>880</v>
      </c>
      <c r="CE4" t="s">
        <v>880</v>
      </c>
      <c r="CF4" t="s">
        <v>880</v>
      </c>
      <c r="CH4" t="s">
        <v>870</v>
      </c>
    </row>
    <row r="5" spans="1:88" x14ac:dyDescent="0.2">
      <c r="I5" t="s">
        <v>891</v>
      </c>
      <c r="K5" t="s">
        <v>869</v>
      </c>
      <c r="O5" t="s">
        <v>892</v>
      </c>
      <c r="R5" t="s">
        <v>892</v>
      </c>
      <c r="S5" t="s">
        <v>892</v>
      </c>
      <c r="T5" t="s">
        <v>735</v>
      </c>
      <c r="V5" t="s">
        <v>735</v>
      </c>
      <c r="Y5" t="s">
        <v>891</v>
      </c>
      <c r="Z5" t="s">
        <v>891</v>
      </c>
      <c r="AH5" t="s">
        <v>893</v>
      </c>
      <c r="AP5" t="s">
        <v>892</v>
      </c>
      <c r="AQ5" t="s">
        <v>735</v>
      </c>
      <c r="AR5" t="s">
        <v>893</v>
      </c>
      <c r="BC5" t="s">
        <v>892</v>
      </c>
      <c r="BE5" t="s">
        <v>892</v>
      </c>
      <c r="BF5" t="s">
        <v>892</v>
      </c>
      <c r="BH5" t="s">
        <v>894</v>
      </c>
      <c r="BK5" t="s">
        <v>894</v>
      </c>
      <c r="BY5" t="s">
        <v>891</v>
      </c>
      <c r="BZ5" t="s">
        <v>893</v>
      </c>
      <c r="CC5" t="s">
        <v>735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9"/>
  <sheetViews>
    <sheetView workbookViewId="0"/>
  </sheetViews>
  <sheetFormatPr defaultColWidth="9.140625" defaultRowHeight="12.75" x14ac:dyDescent="0.2"/>
  <sheetData>
    <row r="1" spans="1:2" x14ac:dyDescent="0.2">
      <c r="A1" t="s">
        <v>14</v>
      </c>
      <c r="B1" t="s">
        <v>757</v>
      </c>
    </row>
    <row r="2" spans="1:2" x14ac:dyDescent="0.2">
      <c r="A2" t="s">
        <v>219</v>
      </c>
      <c r="B2" t="s">
        <v>895</v>
      </c>
    </row>
    <row r="3" spans="1:2" x14ac:dyDescent="0.2">
      <c r="A3" t="s">
        <v>319</v>
      </c>
      <c r="B3" t="s">
        <v>896</v>
      </c>
    </row>
    <row r="4" spans="1:2" x14ac:dyDescent="0.2">
      <c r="A4" t="s">
        <v>410</v>
      </c>
      <c r="B4" t="s">
        <v>897</v>
      </c>
    </row>
    <row r="5" spans="1:2" x14ac:dyDescent="0.2">
      <c r="A5" t="s">
        <v>336</v>
      </c>
      <c r="B5" t="s">
        <v>898</v>
      </c>
    </row>
    <row r="6" spans="1:2" x14ac:dyDescent="0.2">
      <c r="A6" t="s">
        <v>458</v>
      </c>
      <c r="B6" t="s">
        <v>899</v>
      </c>
    </row>
    <row r="7" spans="1:2" x14ac:dyDescent="0.2">
      <c r="A7" t="s">
        <v>256</v>
      </c>
      <c r="B7" t="s">
        <v>900</v>
      </c>
    </row>
    <row r="8" spans="1:2" x14ac:dyDescent="0.2">
      <c r="A8" t="s">
        <v>391</v>
      </c>
      <c r="B8" t="s">
        <v>901</v>
      </c>
    </row>
    <row r="9" spans="1:2" x14ac:dyDescent="0.2">
      <c r="A9" t="s">
        <v>206</v>
      </c>
      <c r="B9" t="s">
        <v>902</v>
      </c>
    </row>
    <row r="10" spans="1:2" x14ac:dyDescent="0.2">
      <c r="A10" t="s">
        <v>167</v>
      </c>
      <c r="B10" t="s">
        <v>903</v>
      </c>
    </row>
    <row r="11" spans="1:2" x14ac:dyDescent="0.2">
      <c r="A11" t="s">
        <v>418</v>
      </c>
      <c r="B11" t="s">
        <v>904</v>
      </c>
    </row>
    <row r="12" spans="1:2" x14ac:dyDescent="0.2">
      <c r="A12" t="s">
        <v>447</v>
      </c>
      <c r="B12" t="s">
        <v>905</v>
      </c>
    </row>
    <row r="13" spans="1:2" x14ac:dyDescent="0.2">
      <c r="A13" t="s">
        <v>216</v>
      </c>
      <c r="B13" t="s">
        <v>906</v>
      </c>
    </row>
    <row r="14" spans="1:2" x14ac:dyDescent="0.2">
      <c r="A14" t="s">
        <v>201</v>
      </c>
      <c r="B14" t="s">
        <v>907</v>
      </c>
    </row>
    <row r="15" spans="1:2" x14ac:dyDescent="0.2">
      <c r="A15" t="s">
        <v>287</v>
      </c>
      <c r="B15" t="s">
        <v>908</v>
      </c>
    </row>
    <row r="16" spans="1:2" x14ac:dyDescent="0.2">
      <c r="A16" t="s">
        <v>298</v>
      </c>
      <c r="B16" t="s">
        <v>909</v>
      </c>
    </row>
    <row r="17" spans="1:2" x14ac:dyDescent="0.2">
      <c r="A17" t="s">
        <v>332</v>
      </c>
      <c r="B17" t="s">
        <v>910</v>
      </c>
    </row>
    <row r="18" spans="1:2" x14ac:dyDescent="0.2">
      <c r="A18" t="s">
        <v>363</v>
      </c>
      <c r="B18" t="s">
        <v>911</v>
      </c>
    </row>
    <row r="19" spans="1:2" x14ac:dyDescent="0.2">
      <c r="A19" t="s">
        <v>225</v>
      </c>
      <c r="B19" t="s">
        <v>912</v>
      </c>
    </row>
    <row r="20" spans="1:2" x14ac:dyDescent="0.2">
      <c r="A20" t="s">
        <v>205</v>
      </c>
      <c r="B20" t="s">
        <v>913</v>
      </c>
    </row>
    <row r="21" spans="1:2" x14ac:dyDescent="0.2">
      <c r="A21" t="s">
        <v>209</v>
      </c>
      <c r="B21" t="s">
        <v>914</v>
      </c>
    </row>
    <row r="22" spans="1:2" x14ac:dyDescent="0.2">
      <c r="A22" t="s">
        <v>265</v>
      </c>
      <c r="B22" t="s">
        <v>915</v>
      </c>
    </row>
    <row r="23" spans="1:2" x14ac:dyDescent="0.2">
      <c r="A23" t="s">
        <v>262</v>
      </c>
      <c r="B23" t="s">
        <v>916</v>
      </c>
    </row>
    <row r="24" spans="1:2" x14ac:dyDescent="0.2">
      <c r="A24" t="s">
        <v>326</v>
      </c>
      <c r="B24" t="s">
        <v>917</v>
      </c>
    </row>
    <row r="25" spans="1:2" x14ac:dyDescent="0.2">
      <c r="A25" t="s">
        <v>385</v>
      </c>
      <c r="B25" t="s">
        <v>918</v>
      </c>
    </row>
    <row r="26" spans="1:2" x14ac:dyDescent="0.2">
      <c r="A26" t="s">
        <v>360</v>
      </c>
      <c r="B26" t="s">
        <v>919</v>
      </c>
    </row>
    <row r="27" spans="1:2" x14ac:dyDescent="0.2">
      <c r="A27" t="s">
        <v>357</v>
      </c>
      <c r="B27" t="s">
        <v>920</v>
      </c>
    </row>
    <row r="28" spans="1:2" x14ac:dyDescent="0.2">
      <c r="A28" t="s">
        <v>394</v>
      </c>
      <c r="B28" t="s">
        <v>921</v>
      </c>
    </row>
    <row r="29" spans="1:2" x14ac:dyDescent="0.2">
      <c r="A29" t="s">
        <v>434</v>
      </c>
      <c r="B29" t="s">
        <v>922</v>
      </c>
    </row>
    <row r="30" spans="1:2" x14ac:dyDescent="0.2">
      <c r="A30" t="s">
        <v>343</v>
      </c>
      <c r="B30" t="s">
        <v>923</v>
      </c>
    </row>
    <row r="31" spans="1:2" x14ac:dyDescent="0.2">
      <c r="A31" t="s">
        <v>455</v>
      </c>
      <c r="B31" t="s">
        <v>924</v>
      </c>
    </row>
    <row r="32" spans="1:2" x14ac:dyDescent="0.2">
      <c r="A32" t="s">
        <v>401</v>
      </c>
      <c r="B32" t="s">
        <v>925</v>
      </c>
    </row>
    <row r="33" spans="1:2" x14ac:dyDescent="0.2">
      <c r="A33" t="s">
        <v>465</v>
      </c>
      <c r="B33" t="s">
        <v>926</v>
      </c>
    </row>
    <row r="34" spans="1:2" x14ac:dyDescent="0.2">
      <c r="A34" t="s">
        <v>283</v>
      </c>
      <c r="B34" t="s">
        <v>927</v>
      </c>
    </row>
    <row r="35" spans="1:2" x14ac:dyDescent="0.2">
      <c r="A35" t="s">
        <v>438</v>
      </c>
      <c r="B35" t="s">
        <v>928</v>
      </c>
    </row>
    <row r="36" spans="1:2" x14ac:dyDescent="0.2">
      <c r="A36" t="s">
        <v>222</v>
      </c>
      <c r="B36" t="s">
        <v>929</v>
      </c>
    </row>
    <row r="37" spans="1:2" x14ac:dyDescent="0.2">
      <c r="A37" t="s">
        <v>370</v>
      </c>
      <c r="B37" t="s">
        <v>930</v>
      </c>
    </row>
    <row r="38" spans="1:2" x14ac:dyDescent="0.2">
      <c r="A38" t="s">
        <v>372</v>
      </c>
      <c r="B38" t="s">
        <v>931</v>
      </c>
    </row>
    <row r="39" spans="1:2" x14ac:dyDescent="0.2">
      <c r="A39" t="s">
        <v>301</v>
      </c>
      <c r="B39" t="s">
        <v>932</v>
      </c>
    </row>
    <row r="40" spans="1:2" x14ac:dyDescent="0.2">
      <c r="A40" t="s">
        <v>339</v>
      </c>
      <c r="B40" t="s">
        <v>933</v>
      </c>
    </row>
    <row r="41" spans="1:2" x14ac:dyDescent="0.2">
      <c r="A41" t="s">
        <v>426</v>
      </c>
      <c r="B41" t="s">
        <v>934</v>
      </c>
    </row>
    <row r="42" spans="1:2" x14ac:dyDescent="0.2">
      <c r="A42" t="s">
        <v>311</v>
      </c>
      <c r="B42" t="s">
        <v>935</v>
      </c>
    </row>
    <row r="43" spans="1:2" x14ac:dyDescent="0.2">
      <c r="A43" t="s">
        <v>345</v>
      </c>
      <c r="B43" t="s">
        <v>936</v>
      </c>
    </row>
    <row r="44" spans="1:2" x14ac:dyDescent="0.2">
      <c r="A44" t="s">
        <v>295</v>
      </c>
      <c r="B44" t="s">
        <v>937</v>
      </c>
    </row>
    <row r="45" spans="1:2" x14ac:dyDescent="0.2">
      <c r="A45" t="s">
        <v>329</v>
      </c>
      <c r="B45" t="s">
        <v>938</v>
      </c>
    </row>
    <row r="46" spans="1:2" x14ac:dyDescent="0.2">
      <c r="A46" t="s">
        <v>436</v>
      </c>
      <c r="B46" t="s">
        <v>939</v>
      </c>
    </row>
    <row r="47" spans="1:2" x14ac:dyDescent="0.2">
      <c r="A47" t="s">
        <v>253</v>
      </c>
      <c r="B47" t="s">
        <v>940</v>
      </c>
    </row>
    <row r="48" spans="1:2" x14ac:dyDescent="0.2">
      <c r="A48" t="s">
        <v>440</v>
      </c>
      <c r="B48" t="s">
        <v>941</v>
      </c>
    </row>
    <row r="49" spans="1:2" x14ac:dyDescent="0.2">
      <c r="A49" t="s">
        <v>398</v>
      </c>
      <c r="B49" t="s">
        <v>942</v>
      </c>
    </row>
    <row r="50" spans="1:2" x14ac:dyDescent="0.2">
      <c r="A50" t="s">
        <v>228</v>
      </c>
      <c r="B50" t="s">
        <v>943</v>
      </c>
    </row>
    <row r="51" spans="1:2" x14ac:dyDescent="0.2">
      <c r="A51" t="s">
        <v>293</v>
      </c>
      <c r="B51" t="s">
        <v>944</v>
      </c>
    </row>
    <row r="52" spans="1:2" x14ac:dyDescent="0.2">
      <c r="A52" t="s">
        <v>428</v>
      </c>
      <c r="B52" t="s">
        <v>945</v>
      </c>
    </row>
    <row r="53" spans="1:2" x14ac:dyDescent="0.2">
      <c r="A53" t="s">
        <v>378</v>
      </c>
      <c r="B53" t="s">
        <v>946</v>
      </c>
    </row>
    <row r="54" spans="1:2" x14ac:dyDescent="0.2">
      <c r="A54" t="s">
        <v>407</v>
      </c>
      <c r="B54" t="s">
        <v>947</v>
      </c>
    </row>
    <row r="55" spans="1:2" x14ac:dyDescent="0.2">
      <c r="A55" t="s">
        <v>305</v>
      </c>
      <c r="B55" t="s">
        <v>948</v>
      </c>
    </row>
    <row r="56" spans="1:2" x14ac:dyDescent="0.2">
      <c r="A56" t="s">
        <v>281</v>
      </c>
      <c r="B56" t="s">
        <v>949</v>
      </c>
    </row>
    <row r="57" spans="1:2" x14ac:dyDescent="0.2">
      <c r="A57" t="s">
        <v>404</v>
      </c>
      <c r="B57" t="s">
        <v>950</v>
      </c>
    </row>
    <row r="58" spans="1:2" x14ac:dyDescent="0.2">
      <c r="A58" t="s">
        <v>313</v>
      </c>
      <c r="B58" t="s">
        <v>951</v>
      </c>
    </row>
    <row r="59" spans="1:2" x14ac:dyDescent="0.2">
      <c r="A59" t="s">
        <v>271</v>
      </c>
      <c r="B59" t="s">
        <v>952</v>
      </c>
    </row>
    <row r="60" spans="1:2" x14ac:dyDescent="0.2">
      <c r="A60" t="s">
        <v>445</v>
      </c>
      <c r="B60" t="s">
        <v>953</v>
      </c>
    </row>
    <row r="61" spans="1:2" x14ac:dyDescent="0.2">
      <c r="A61" t="s">
        <v>422</v>
      </c>
      <c r="B61" t="s">
        <v>954</v>
      </c>
    </row>
    <row r="62" spans="1:2" x14ac:dyDescent="0.2">
      <c r="A62" t="s">
        <v>259</v>
      </c>
      <c r="B62" t="s">
        <v>955</v>
      </c>
    </row>
    <row r="63" spans="1:2" x14ac:dyDescent="0.2">
      <c r="A63" t="s">
        <v>347</v>
      </c>
      <c r="B63" t="s">
        <v>956</v>
      </c>
    </row>
    <row r="64" spans="1:2" x14ac:dyDescent="0.2">
      <c r="A64" t="s">
        <v>322</v>
      </c>
      <c r="B64" t="s">
        <v>957</v>
      </c>
    </row>
    <row r="65" spans="1:2" x14ac:dyDescent="0.2">
      <c r="A65" t="s">
        <v>290</v>
      </c>
      <c r="B65" t="s">
        <v>958</v>
      </c>
    </row>
    <row r="66" spans="1:2" x14ac:dyDescent="0.2">
      <c r="A66" t="s">
        <v>431</v>
      </c>
      <c r="B66" t="s">
        <v>959</v>
      </c>
    </row>
    <row r="67" spans="1:2" x14ac:dyDescent="0.2">
      <c r="A67" t="s">
        <v>413</v>
      </c>
      <c r="B67" t="s">
        <v>960</v>
      </c>
    </row>
    <row r="68" spans="1:2" x14ac:dyDescent="0.2">
      <c r="A68" t="s">
        <v>367</v>
      </c>
      <c r="B68" t="s">
        <v>961</v>
      </c>
    </row>
    <row r="69" spans="1:2" x14ac:dyDescent="0.2">
      <c r="A69" t="s">
        <v>382</v>
      </c>
      <c r="B69" t="s">
        <v>962</v>
      </c>
    </row>
    <row r="70" spans="1:2" x14ac:dyDescent="0.2">
      <c r="A70" t="s">
        <v>316</v>
      </c>
      <c r="B70" t="s">
        <v>963</v>
      </c>
    </row>
    <row r="71" spans="1:2" x14ac:dyDescent="0.2">
      <c r="A71" t="s">
        <v>242</v>
      </c>
      <c r="B71" t="s">
        <v>964</v>
      </c>
    </row>
    <row r="72" spans="1:2" x14ac:dyDescent="0.2">
      <c r="A72" t="s">
        <v>246</v>
      </c>
      <c r="B72" t="s">
        <v>965</v>
      </c>
    </row>
    <row r="73" spans="1:2" x14ac:dyDescent="0.2">
      <c r="A73" t="s">
        <v>268</v>
      </c>
      <c r="B73" t="s">
        <v>966</v>
      </c>
    </row>
    <row r="74" spans="1:2" x14ac:dyDescent="0.2">
      <c r="A74" t="s">
        <v>443</v>
      </c>
      <c r="B74" t="s">
        <v>967</v>
      </c>
    </row>
    <row r="75" spans="1:2" x14ac:dyDescent="0.2">
      <c r="A75" t="s">
        <v>451</v>
      </c>
      <c r="B75" t="s">
        <v>968</v>
      </c>
    </row>
    <row r="76" spans="1:2" x14ac:dyDescent="0.2">
      <c r="A76" t="s">
        <v>172</v>
      </c>
      <c r="B76" t="s">
        <v>969</v>
      </c>
    </row>
    <row r="77" spans="1:2" x14ac:dyDescent="0.2">
      <c r="A77" t="s">
        <v>353</v>
      </c>
      <c r="B77" t="s">
        <v>970</v>
      </c>
    </row>
    <row r="78" spans="1:2" x14ac:dyDescent="0.2">
      <c r="A78" t="s">
        <v>308</v>
      </c>
      <c r="B78" t="s">
        <v>971</v>
      </c>
    </row>
    <row r="79" spans="1:2" x14ac:dyDescent="0.2">
      <c r="A79" t="s">
        <v>249</v>
      </c>
      <c r="B79" t="s">
        <v>972</v>
      </c>
    </row>
    <row r="80" spans="1:2" x14ac:dyDescent="0.2">
      <c r="A80" t="s">
        <v>231</v>
      </c>
      <c r="B80" t="s">
        <v>973</v>
      </c>
    </row>
    <row r="81" spans="1:2" x14ac:dyDescent="0.2">
      <c r="A81" t="s">
        <v>416</v>
      </c>
      <c r="B81" t="s">
        <v>974</v>
      </c>
    </row>
    <row r="82" spans="1:2" x14ac:dyDescent="0.2">
      <c r="A82" t="s">
        <v>278</v>
      </c>
      <c r="B82" t="s">
        <v>975</v>
      </c>
    </row>
    <row r="83" spans="1:2" x14ac:dyDescent="0.2">
      <c r="A83" t="s">
        <v>375</v>
      </c>
      <c r="B83" t="s">
        <v>976</v>
      </c>
    </row>
    <row r="84" spans="1:2" x14ac:dyDescent="0.2">
      <c r="A84" t="s">
        <v>421</v>
      </c>
      <c r="B84" t="s">
        <v>977</v>
      </c>
    </row>
    <row r="85" spans="1:2" x14ac:dyDescent="0.2">
      <c r="A85" t="s">
        <v>388</v>
      </c>
      <c r="B85" t="s">
        <v>978</v>
      </c>
    </row>
    <row r="86" spans="1:2" x14ac:dyDescent="0.2">
      <c r="A86" t="s">
        <v>461</v>
      </c>
      <c r="B86" t="s">
        <v>979</v>
      </c>
    </row>
    <row r="87" spans="1:2" x14ac:dyDescent="0.2">
      <c r="A87" t="s">
        <v>274</v>
      </c>
      <c r="B87" t="s">
        <v>980</v>
      </c>
    </row>
    <row r="88" spans="1:2" x14ac:dyDescent="0.2">
      <c r="A88" t="s">
        <v>238</v>
      </c>
      <c r="B88" t="s">
        <v>981</v>
      </c>
    </row>
    <row r="89" spans="1:2" x14ac:dyDescent="0.2">
      <c r="A89" t="s">
        <v>350</v>
      </c>
      <c r="B89" t="s">
        <v>982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I5"/>
  <sheetViews>
    <sheetView workbookViewId="0">
      <selection activeCell="D1" sqref="D1"/>
    </sheetView>
  </sheetViews>
  <sheetFormatPr defaultColWidth="9.140625" defaultRowHeight="12.75" x14ac:dyDescent="0.2"/>
  <sheetData>
    <row r="1" spans="1:87"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283</v>
      </c>
      <c r="AG1" t="s">
        <v>438</v>
      </c>
      <c r="AH1" t="s">
        <v>222</v>
      </c>
      <c r="AI1" t="s">
        <v>370</v>
      </c>
      <c r="AJ1" t="s">
        <v>372</v>
      </c>
      <c r="AK1" t="s">
        <v>301</v>
      </c>
      <c r="AL1" t="s">
        <v>339</v>
      </c>
      <c r="AM1" t="s">
        <v>426</v>
      </c>
      <c r="AN1" t="s">
        <v>311</v>
      </c>
      <c r="AO1" t="s">
        <v>345</v>
      </c>
      <c r="AP1" t="s">
        <v>295</v>
      </c>
      <c r="AQ1" t="s">
        <v>329</v>
      </c>
      <c r="AR1" t="s">
        <v>436</v>
      </c>
      <c r="AS1" t="s">
        <v>253</v>
      </c>
      <c r="AT1" t="s">
        <v>440</v>
      </c>
      <c r="AU1" t="s">
        <v>398</v>
      </c>
      <c r="AV1" t="s">
        <v>228</v>
      </c>
      <c r="AW1" t="s">
        <v>293</v>
      </c>
      <c r="AX1" t="s">
        <v>428</v>
      </c>
      <c r="AY1" t="s">
        <v>378</v>
      </c>
      <c r="AZ1" t="s">
        <v>407</v>
      </c>
      <c r="BA1" t="s">
        <v>305</v>
      </c>
      <c r="BB1" t="s">
        <v>281</v>
      </c>
      <c r="BC1" t="s">
        <v>404</v>
      </c>
      <c r="BD1" t="s">
        <v>313</v>
      </c>
      <c r="BE1" t="s">
        <v>271</v>
      </c>
      <c r="BF1" t="s">
        <v>445</v>
      </c>
      <c r="BG1" t="s">
        <v>422</v>
      </c>
      <c r="BH1" t="s">
        <v>259</v>
      </c>
      <c r="BI1" t="s">
        <v>347</v>
      </c>
      <c r="BJ1" t="s">
        <v>322</v>
      </c>
      <c r="BK1" t="s">
        <v>290</v>
      </c>
      <c r="BL1" t="s">
        <v>431</v>
      </c>
      <c r="BM1" t="s">
        <v>413</v>
      </c>
      <c r="BN1" t="s">
        <v>367</v>
      </c>
      <c r="BO1" t="s">
        <v>382</v>
      </c>
      <c r="BP1" t="s">
        <v>316</v>
      </c>
      <c r="BQ1" t="s">
        <v>242</v>
      </c>
      <c r="BR1" t="s">
        <v>246</v>
      </c>
      <c r="BS1" t="s">
        <v>268</v>
      </c>
      <c r="BT1" t="s">
        <v>443</v>
      </c>
      <c r="BU1" t="s">
        <v>451</v>
      </c>
      <c r="BV1" t="s">
        <v>172</v>
      </c>
      <c r="BW1" t="s">
        <v>353</v>
      </c>
      <c r="BX1" t="s">
        <v>308</v>
      </c>
      <c r="BY1" t="s">
        <v>249</v>
      </c>
      <c r="BZ1" t="s">
        <v>231</v>
      </c>
      <c r="CA1" t="s">
        <v>416</v>
      </c>
      <c r="CB1" t="s">
        <v>278</v>
      </c>
      <c r="CC1" t="s">
        <v>375</v>
      </c>
      <c r="CD1" t="s">
        <v>421</v>
      </c>
      <c r="CE1" t="s">
        <v>388</v>
      </c>
      <c r="CF1" t="s">
        <v>461</v>
      </c>
      <c r="CG1" t="s">
        <v>274</v>
      </c>
      <c r="CH1" t="s">
        <v>238</v>
      </c>
      <c r="CI1" t="s">
        <v>350</v>
      </c>
    </row>
    <row r="2" spans="1:87" x14ac:dyDescent="0.2">
      <c r="A2" t="s">
        <v>220</v>
      </c>
      <c r="B2" t="s">
        <v>983</v>
      </c>
      <c r="C2" t="s">
        <v>411</v>
      </c>
      <c r="D2" t="s">
        <v>984</v>
      </c>
      <c r="E2" t="s">
        <v>459</v>
      </c>
      <c r="F2" t="s">
        <v>257</v>
      </c>
      <c r="G2" t="s">
        <v>985</v>
      </c>
      <c r="H2" t="s">
        <v>213</v>
      </c>
      <c r="I2" t="s">
        <v>986</v>
      </c>
      <c r="J2" t="s">
        <v>419</v>
      </c>
      <c r="K2" t="s">
        <v>987</v>
      </c>
      <c r="L2" t="s">
        <v>217</v>
      </c>
      <c r="M2" t="s">
        <v>202</v>
      </c>
      <c r="N2" t="s">
        <v>988</v>
      </c>
      <c r="O2" t="s">
        <v>299</v>
      </c>
      <c r="P2" t="s">
        <v>989</v>
      </c>
      <c r="Q2" t="s">
        <v>990</v>
      </c>
      <c r="R2" t="s">
        <v>991</v>
      </c>
      <c r="S2" t="s">
        <v>206</v>
      </c>
      <c r="T2" t="s">
        <v>992</v>
      </c>
      <c r="U2" t="s">
        <v>993</v>
      </c>
      <c r="V2" t="s">
        <v>994</v>
      </c>
      <c r="W2" t="s">
        <v>995</v>
      </c>
      <c r="X2" t="s">
        <v>996</v>
      </c>
      <c r="Y2" t="s">
        <v>306</v>
      </c>
      <c r="Z2" t="s">
        <v>358</v>
      </c>
      <c r="AA2" t="s">
        <v>997</v>
      </c>
      <c r="AB2" t="s">
        <v>998</v>
      </c>
      <c r="AC2" t="s">
        <v>202</v>
      </c>
      <c r="AD2" t="s">
        <v>999</v>
      </c>
      <c r="AE2" t="s">
        <v>402</v>
      </c>
      <c r="AF2" t="s">
        <v>284</v>
      </c>
      <c r="AG2" t="s">
        <v>1000</v>
      </c>
      <c r="AH2" t="s">
        <v>348</v>
      </c>
      <c r="AI2" t="s">
        <v>1001</v>
      </c>
      <c r="AJ2" t="s">
        <v>1002</v>
      </c>
      <c r="AK2" t="s">
        <v>302</v>
      </c>
      <c r="AL2" t="s">
        <v>1003</v>
      </c>
      <c r="AM2" t="s">
        <v>1004</v>
      </c>
      <c r="AN2" t="s">
        <v>1005</v>
      </c>
      <c r="AO2" t="s">
        <v>272</v>
      </c>
      <c r="AP2" t="s">
        <v>268</v>
      </c>
      <c r="AQ2" t="s">
        <v>306</v>
      </c>
      <c r="AR2" t="s">
        <v>306</v>
      </c>
      <c r="AS2" t="s">
        <v>1006</v>
      </c>
      <c r="AT2" t="s">
        <v>441</v>
      </c>
      <c r="AU2" t="s">
        <v>399</v>
      </c>
      <c r="AV2" t="s">
        <v>1007</v>
      </c>
      <c r="AW2" t="s">
        <v>1008</v>
      </c>
      <c r="AX2" t="s">
        <v>1009</v>
      </c>
      <c r="AY2" t="s">
        <v>379</v>
      </c>
      <c r="AZ2" t="s">
        <v>1010</v>
      </c>
      <c r="BA2" t="s">
        <v>306</v>
      </c>
      <c r="BB2" t="s">
        <v>206</v>
      </c>
      <c r="BC2" t="s">
        <v>405</v>
      </c>
      <c r="BD2" t="s">
        <v>1011</v>
      </c>
      <c r="BE2" t="s">
        <v>272</v>
      </c>
      <c r="BF2" t="s">
        <v>1012</v>
      </c>
      <c r="BG2" t="s">
        <v>423</v>
      </c>
      <c r="BH2" t="s">
        <v>217</v>
      </c>
      <c r="BI2" t="s">
        <v>348</v>
      </c>
      <c r="BJ2" t="s">
        <v>1013</v>
      </c>
      <c r="BK2" t="s">
        <v>1014</v>
      </c>
      <c r="BL2" t="s">
        <v>1015</v>
      </c>
      <c r="BM2" t="s">
        <v>372</v>
      </c>
      <c r="BN2" t="s">
        <v>1016</v>
      </c>
      <c r="BO2" t="s">
        <v>1017</v>
      </c>
      <c r="BP2" t="s">
        <v>1018</v>
      </c>
      <c r="BQ2" t="s">
        <v>1019</v>
      </c>
      <c r="BR2" t="s">
        <v>1020</v>
      </c>
      <c r="BS2" t="s">
        <v>266</v>
      </c>
      <c r="BT2" t="s">
        <v>1021</v>
      </c>
      <c r="BU2" t="s">
        <v>1022</v>
      </c>
      <c r="BV2" t="s">
        <v>354</v>
      </c>
      <c r="BW2" t="s">
        <v>354</v>
      </c>
      <c r="BX2" t="s">
        <v>166</v>
      </c>
      <c r="BY2" t="s">
        <v>1023</v>
      </c>
      <c r="BZ2" t="s">
        <v>1024</v>
      </c>
      <c r="CA2" t="s">
        <v>266</v>
      </c>
      <c r="CB2" t="s">
        <v>279</v>
      </c>
      <c r="CC2" t="s">
        <v>1025</v>
      </c>
      <c r="CD2" t="s">
        <v>1026</v>
      </c>
      <c r="CE2" t="s">
        <v>1027</v>
      </c>
      <c r="CF2" t="s">
        <v>1028</v>
      </c>
      <c r="CG2" t="s">
        <v>275</v>
      </c>
      <c r="CH2" t="s">
        <v>1029</v>
      </c>
      <c r="CI2" t="s">
        <v>1030</v>
      </c>
    </row>
    <row r="3" spans="1:87" x14ac:dyDescent="0.2">
      <c r="A3" t="s">
        <v>1031</v>
      </c>
      <c r="B3" t="s">
        <v>1032</v>
      </c>
      <c r="C3" t="s">
        <v>272</v>
      </c>
      <c r="D3" t="s">
        <v>1033</v>
      </c>
      <c r="E3" t="s">
        <v>1034</v>
      </c>
      <c r="F3" t="s">
        <v>1035</v>
      </c>
      <c r="G3" t="s">
        <v>1036</v>
      </c>
      <c r="H3" t="s">
        <v>1037</v>
      </c>
      <c r="I3" t="s">
        <v>247</v>
      </c>
      <c r="J3" t="s">
        <v>1038</v>
      </c>
      <c r="K3" t="s">
        <v>1039</v>
      </c>
      <c r="L3" t="s">
        <v>314</v>
      </c>
      <c r="M3" t="s">
        <v>1040</v>
      </c>
      <c r="N3" t="s">
        <v>1035</v>
      </c>
      <c r="O3" t="s">
        <v>1041</v>
      </c>
      <c r="P3" t="s">
        <v>1042</v>
      </c>
      <c r="Q3" t="s">
        <v>1043</v>
      </c>
      <c r="R3" t="s">
        <v>206</v>
      </c>
      <c r="S3" t="s">
        <v>1044</v>
      </c>
      <c r="T3" t="s">
        <v>206</v>
      </c>
      <c r="U3" t="s">
        <v>1045</v>
      </c>
      <c r="V3" t="s">
        <v>314</v>
      </c>
      <c r="W3" t="s">
        <v>1046</v>
      </c>
      <c r="X3" t="s">
        <v>1047</v>
      </c>
      <c r="Y3" t="s">
        <v>166</v>
      </c>
      <c r="Z3" t="s">
        <v>986</v>
      </c>
      <c r="AA3" t="s">
        <v>389</v>
      </c>
      <c r="AB3" t="s">
        <v>1006</v>
      </c>
      <c r="AC3" t="s">
        <v>31</v>
      </c>
      <c r="AD3" t="s">
        <v>1048</v>
      </c>
      <c r="AE3" t="s">
        <v>266</v>
      </c>
      <c r="AF3" t="s">
        <v>288</v>
      </c>
      <c r="AG3" t="s">
        <v>1049</v>
      </c>
      <c r="AH3" t="s">
        <v>1050</v>
      </c>
      <c r="AI3" t="s">
        <v>320</v>
      </c>
      <c r="AJ3" t="s">
        <v>368</v>
      </c>
      <c r="AK3" t="s">
        <v>1051</v>
      </c>
      <c r="AL3" t="s">
        <v>1052</v>
      </c>
      <c r="AM3" t="s">
        <v>1053</v>
      </c>
      <c r="AN3" t="s">
        <v>1054</v>
      </c>
      <c r="AO3" t="s">
        <v>202</v>
      </c>
      <c r="AP3" t="s">
        <v>1055</v>
      </c>
      <c r="AQ3" t="s">
        <v>250</v>
      </c>
      <c r="AR3" t="s">
        <v>250</v>
      </c>
      <c r="AS3" t="s">
        <v>1056</v>
      </c>
      <c r="AT3" t="s">
        <v>1057</v>
      </c>
      <c r="AU3" t="s">
        <v>993</v>
      </c>
      <c r="AV3" t="s">
        <v>1058</v>
      </c>
      <c r="AW3" t="s">
        <v>1059</v>
      </c>
      <c r="AX3" t="s">
        <v>998</v>
      </c>
      <c r="AY3" t="s">
        <v>1060</v>
      </c>
      <c r="AZ3" t="s">
        <v>1061</v>
      </c>
      <c r="BA3" t="s">
        <v>429</v>
      </c>
      <c r="BB3" t="s">
        <v>991</v>
      </c>
      <c r="BC3" t="s">
        <v>1062</v>
      </c>
      <c r="BD3" t="s">
        <v>314</v>
      </c>
      <c r="BE3" t="s">
        <v>291</v>
      </c>
      <c r="BF3" t="s">
        <v>306</v>
      </c>
      <c r="BG3" t="s">
        <v>189</v>
      </c>
      <c r="BH3" t="s">
        <v>216</v>
      </c>
      <c r="BI3" t="s">
        <v>1050</v>
      </c>
      <c r="BJ3" t="s">
        <v>432</v>
      </c>
      <c r="BK3" t="s">
        <v>1063</v>
      </c>
      <c r="BL3" t="s">
        <v>988</v>
      </c>
      <c r="BM3" t="s">
        <v>1064</v>
      </c>
      <c r="BN3" t="s">
        <v>372</v>
      </c>
      <c r="BO3" t="s">
        <v>1065</v>
      </c>
      <c r="BP3" t="s">
        <v>429</v>
      </c>
      <c r="BQ3" t="s">
        <v>448</v>
      </c>
      <c r="BR3" t="s">
        <v>1066</v>
      </c>
      <c r="BS3" t="s">
        <v>1005</v>
      </c>
      <c r="BT3" t="s">
        <v>1067</v>
      </c>
      <c r="BU3" t="s">
        <v>1068</v>
      </c>
      <c r="BV3" t="s">
        <v>1069</v>
      </c>
      <c r="BW3" t="s">
        <v>1070</v>
      </c>
      <c r="BX3" t="s">
        <v>1071</v>
      </c>
      <c r="BY3" t="s">
        <v>1058</v>
      </c>
      <c r="BZ3" t="s">
        <v>1051</v>
      </c>
      <c r="CA3" t="s">
        <v>1072</v>
      </c>
      <c r="CB3" t="s">
        <v>1073</v>
      </c>
      <c r="CC3" t="s">
        <v>1074</v>
      </c>
      <c r="CD3" t="s">
        <v>1075</v>
      </c>
      <c r="CE3" t="s">
        <v>272</v>
      </c>
      <c r="CF3" t="s">
        <v>1076</v>
      </c>
      <c r="CG3" t="s">
        <v>1077</v>
      </c>
      <c r="CH3" t="s">
        <v>1078</v>
      </c>
      <c r="CI3" t="s">
        <v>1078</v>
      </c>
    </row>
    <row r="4" spans="1:87" x14ac:dyDescent="0.2">
      <c r="A4" t="s">
        <v>1079</v>
      </c>
      <c r="B4" t="s">
        <v>1080</v>
      </c>
      <c r="C4" t="s">
        <v>202</v>
      </c>
      <c r="D4" t="s">
        <v>1081</v>
      </c>
      <c r="E4" t="s">
        <v>451</v>
      </c>
      <c r="F4" t="s">
        <v>1082</v>
      </c>
      <c r="G4" t="s">
        <v>1083</v>
      </c>
      <c r="H4" t="s">
        <v>1084</v>
      </c>
      <c r="I4" t="s">
        <v>1000</v>
      </c>
      <c r="J4" t="s">
        <v>414</v>
      </c>
      <c r="K4" t="s">
        <v>1085</v>
      </c>
      <c r="L4" t="s">
        <v>1086</v>
      </c>
      <c r="M4" t="s">
        <v>1087</v>
      </c>
      <c r="N4" t="s">
        <v>288</v>
      </c>
      <c r="O4" t="s">
        <v>1088</v>
      </c>
      <c r="P4" t="s">
        <v>1089</v>
      </c>
      <c r="Q4" t="s">
        <v>1090</v>
      </c>
      <c r="R4" t="s">
        <v>314</v>
      </c>
      <c r="S4" t="s">
        <v>314</v>
      </c>
      <c r="T4" t="s">
        <v>1005</v>
      </c>
      <c r="U4" t="s">
        <v>1091</v>
      </c>
      <c r="V4" t="s">
        <v>1092</v>
      </c>
      <c r="W4" t="s">
        <v>1093</v>
      </c>
      <c r="X4" t="s">
        <v>1094</v>
      </c>
      <c r="Y4" t="s">
        <v>429</v>
      </c>
      <c r="Z4" t="s">
        <v>1095</v>
      </c>
      <c r="AA4" t="s">
        <v>1080</v>
      </c>
      <c r="AB4" t="s">
        <v>1096</v>
      </c>
      <c r="AC4" t="s">
        <v>1097</v>
      </c>
      <c r="AD4" t="s">
        <v>1098</v>
      </c>
      <c r="AE4" t="s">
        <v>1099</v>
      </c>
      <c r="AF4" t="s">
        <v>250</v>
      </c>
      <c r="AG4" t="s">
        <v>1100</v>
      </c>
      <c r="AH4" t="s">
        <v>1045</v>
      </c>
      <c r="AI4" t="s">
        <v>1101</v>
      </c>
      <c r="AJ4" t="s">
        <v>320</v>
      </c>
      <c r="AK4" t="s">
        <v>1102</v>
      </c>
      <c r="AL4" t="s">
        <v>284</v>
      </c>
      <c r="AM4" t="s">
        <v>1103</v>
      </c>
      <c r="AN4" t="s">
        <v>1104</v>
      </c>
      <c r="AO4" t="s">
        <v>993</v>
      </c>
      <c r="AP4" t="s">
        <v>1105</v>
      </c>
      <c r="AQ4" t="s">
        <v>429</v>
      </c>
      <c r="AR4" t="s">
        <v>429</v>
      </c>
      <c r="AS4" t="s">
        <v>1106</v>
      </c>
      <c r="AT4" t="s">
        <v>1107</v>
      </c>
      <c r="AU4" t="s">
        <v>1108</v>
      </c>
      <c r="AV4" t="s">
        <v>429</v>
      </c>
      <c r="AW4" t="s">
        <v>1109</v>
      </c>
      <c r="AX4" t="s">
        <v>441</v>
      </c>
      <c r="AY4" t="s">
        <v>1110</v>
      </c>
      <c r="AZ4" t="s">
        <v>372</v>
      </c>
      <c r="BA4" t="s">
        <v>1111</v>
      </c>
      <c r="BB4" t="s">
        <v>314</v>
      </c>
      <c r="BC4" t="s">
        <v>1026</v>
      </c>
      <c r="BD4" t="s">
        <v>1045</v>
      </c>
      <c r="BE4" t="s">
        <v>1050</v>
      </c>
      <c r="BF4" t="s">
        <v>998</v>
      </c>
      <c r="BG4" t="s">
        <v>1112</v>
      </c>
      <c r="BH4" t="s">
        <v>1054</v>
      </c>
      <c r="BI4" t="s">
        <v>1113</v>
      </c>
      <c r="BJ4" t="s">
        <v>1114</v>
      </c>
      <c r="BK4" t="s">
        <v>1059</v>
      </c>
      <c r="BL4" t="s">
        <v>1115</v>
      </c>
      <c r="BM4" t="s">
        <v>1116</v>
      </c>
      <c r="BN4" t="s">
        <v>1117</v>
      </c>
      <c r="BO4" t="s">
        <v>1118</v>
      </c>
      <c r="BP4" t="s">
        <v>1119</v>
      </c>
      <c r="BQ4" t="s">
        <v>1120</v>
      </c>
      <c r="BR4" t="s">
        <v>1121</v>
      </c>
      <c r="BS4" t="s">
        <v>1104</v>
      </c>
      <c r="BT4" t="s">
        <v>1122</v>
      </c>
      <c r="BU4" t="s">
        <v>1076</v>
      </c>
      <c r="BV4" t="s">
        <v>1016</v>
      </c>
      <c r="BW4" t="s">
        <v>1016</v>
      </c>
      <c r="BX4" t="s">
        <v>1093</v>
      </c>
      <c r="BY4" t="s">
        <v>257</v>
      </c>
      <c r="BZ4" t="s">
        <v>1123</v>
      </c>
      <c r="CA4" t="s">
        <v>1124</v>
      </c>
      <c r="CB4" t="s">
        <v>1125</v>
      </c>
      <c r="CC4" t="s">
        <v>1016</v>
      </c>
      <c r="CD4" t="s">
        <v>1126</v>
      </c>
      <c r="CE4" t="s">
        <v>1127</v>
      </c>
      <c r="CF4" t="s">
        <v>1128</v>
      </c>
      <c r="CG4" t="s">
        <v>1129</v>
      </c>
      <c r="CH4" t="s">
        <v>1130</v>
      </c>
      <c r="CI4" t="s">
        <v>1131</v>
      </c>
    </row>
    <row r="5" spans="1:87" x14ac:dyDescent="0.2">
      <c r="A5" t="s">
        <v>441</v>
      </c>
      <c r="B5" t="s">
        <v>1132</v>
      </c>
      <c r="C5" t="s">
        <v>1101</v>
      </c>
      <c r="D5" t="s">
        <v>337</v>
      </c>
      <c r="E5" t="s">
        <v>1133</v>
      </c>
      <c r="F5" t="s">
        <v>1134</v>
      </c>
      <c r="G5" t="s">
        <v>1135</v>
      </c>
      <c r="H5" t="s">
        <v>337</v>
      </c>
      <c r="I5" t="s">
        <v>306</v>
      </c>
      <c r="J5" t="s">
        <v>1136</v>
      </c>
      <c r="K5" t="s">
        <v>1137</v>
      </c>
      <c r="L5" t="s">
        <v>1138</v>
      </c>
      <c r="M5" t="s">
        <v>1139</v>
      </c>
      <c r="N5" t="s">
        <v>1115</v>
      </c>
      <c r="O5" t="s">
        <v>1140</v>
      </c>
      <c r="P5" t="s">
        <v>1016</v>
      </c>
      <c r="Q5" t="s">
        <v>1141</v>
      </c>
      <c r="R5" t="s">
        <v>337</v>
      </c>
      <c r="S5" t="s">
        <v>217</v>
      </c>
      <c r="T5" t="s">
        <v>1104</v>
      </c>
      <c r="U5" t="s">
        <v>1050</v>
      </c>
      <c r="V5" t="s">
        <v>337</v>
      </c>
      <c r="W5" t="s">
        <v>1076</v>
      </c>
      <c r="X5" t="s">
        <v>337</v>
      </c>
      <c r="Y5" t="s">
        <v>1142</v>
      </c>
      <c r="Z5" t="s">
        <v>337</v>
      </c>
      <c r="AA5" t="s">
        <v>1143</v>
      </c>
      <c r="AB5" t="s">
        <v>1144</v>
      </c>
      <c r="AC5" t="s">
        <v>1087</v>
      </c>
      <c r="AD5" t="s">
        <v>1145</v>
      </c>
      <c r="AE5" t="s">
        <v>1010</v>
      </c>
      <c r="AF5" t="s">
        <v>1146</v>
      </c>
      <c r="AG5" t="s">
        <v>337</v>
      </c>
      <c r="AH5" t="s">
        <v>223</v>
      </c>
      <c r="AI5" t="s">
        <v>389</v>
      </c>
      <c r="AJ5" t="s">
        <v>1147</v>
      </c>
      <c r="AK5" t="s">
        <v>1148</v>
      </c>
      <c r="AL5" t="s">
        <v>1149</v>
      </c>
      <c r="AM5" t="s">
        <v>337</v>
      </c>
      <c r="AN5" t="s">
        <v>1150</v>
      </c>
      <c r="AO5" t="s">
        <v>314</v>
      </c>
      <c r="AP5" t="s">
        <v>1151</v>
      </c>
      <c r="AQ5" t="s">
        <v>1052</v>
      </c>
      <c r="AR5" t="s">
        <v>1152</v>
      </c>
      <c r="AS5" t="s">
        <v>217</v>
      </c>
      <c r="AT5" t="s">
        <v>1153</v>
      </c>
      <c r="AU5" t="s">
        <v>1154</v>
      </c>
      <c r="AV5" t="s">
        <v>1155</v>
      </c>
      <c r="AW5" t="s">
        <v>348</v>
      </c>
      <c r="AX5" t="s">
        <v>348</v>
      </c>
      <c r="AY5" t="s">
        <v>1156</v>
      </c>
      <c r="AZ5" t="s">
        <v>1154</v>
      </c>
      <c r="BA5" t="s">
        <v>1149</v>
      </c>
      <c r="BB5" t="s">
        <v>337</v>
      </c>
      <c r="BC5" t="s">
        <v>1154</v>
      </c>
      <c r="BD5" t="s">
        <v>337</v>
      </c>
      <c r="BE5" t="s">
        <v>993</v>
      </c>
      <c r="BF5" t="s">
        <v>1157</v>
      </c>
      <c r="BG5" t="s">
        <v>1076</v>
      </c>
      <c r="BH5" t="s">
        <v>1104</v>
      </c>
      <c r="BI5" t="s">
        <v>1045</v>
      </c>
      <c r="BJ5" t="s">
        <v>1158</v>
      </c>
      <c r="BK5" t="s">
        <v>320</v>
      </c>
      <c r="BL5" t="s">
        <v>1159</v>
      </c>
      <c r="BM5" t="s">
        <v>1160</v>
      </c>
      <c r="BN5" t="s">
        <v>320</v>
      </c>
      <c r="BO5" t="s">
        <v>1101</v>
      </c>
      <c r="BP5" t="s">
        <v>1161</v>
      </c>
      <c r="BQ5" t="s">
        <v>1162</v>
      </c>
      <c r="BR5" t="s">
        <v>1163</v>
      </c>
      <c r="BS5" t="s">
        <v>1164</v>
      </c>
      <c r="BT5" t="s">
        <v>1165</v>
      </c>
      <c r="BU5" t="s">
        <v>1016</v>
      </c>
      <c r="BV5" t="s">
        <v>372</v>
      </c>
      <c r="BW5" t="s">
        <v>372</v>
      </c>
      <c r="BX5" t="s">
        <v>250</v>
      </c>
      <c r="BY5" t="s">
        <v>1050</v>
      </c>
      <c r="BZ5" t="s">
        <v>1166</v>
      </c>
      <c r="CA5" t="s">
        <v>1167</v>
      </c>
      <c r="CB5" t="s">
        <v>1168</v>
      </c>
      <c r="CC5" t="s">
        <v>1169</v>
      </c>
      <c r="CD5" t="s">
        <v>1170</v>
      </c>
      <c r="CE5" t="s">
        <v>372</v>
      </c>
      <c r="CF5" t="s">
        <v>459</v>
      </c>
      <c r="CG5" t="s">
        <v>337</v>
      </c>
      <c r="CH5" t="s">
        <v>1062</v>
      </c>
      <c r="CI5" t="s">
        <v>1102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8"/>
  <sheetViews>
    <sheetView workbookViewId="0"/>
  </sheetViews>
  <sheetFormatPr defaultColWidth="9.140625" defaultRowHeight="12.75" x14ac:dyDescent="0.2"/>
  <sheetData>
    <row r="1" spans="1:2" x14ac:dyDescent="0.2">
      <c r="A1" t="s">
        <v>14</v>
      </c>
      <c r="B1" t="s">
        <v>757</v>
      </c>
    </row>
    <row r="2" spans="1:2" x14ac:dyDescent="0.2">
      <c r="A2" t="s">
        <v>219</v>
      </c>
      <c r="B2" t="s">
        <v>1171</v>
      </c>
    </row>
    <row r="3" spans="1:2" x14ac:dyDescent="0.2">
      <c r="A3" t="s">
        <v>319</v>
      </c>
      <c r="B3" t="s">
        <v>1172</v>
      </c>
    </row>
    <row r="4" spans="1:2" x14ac:dyDescent="0.2">
      <c r="A4" t="s">
        <v>410</v>
      </c>
      <c r="B4" t="s">
        <v>1173</v>
      </c>
    </row>
    <row r="5" spans="1:2" x14ac:dyDescent="0.2">
      <c r="A5" t="s">
        <v>336</v>
      </c>
      <c r="B5" t="s">
        <v>336</v>
      </c>
    </row>
    <row r="6" spans="1:2" x14ac:dyDescent="0.2">
      <c r="A6" t="s">
        <v>458</v>
      </c>
      <c r="B6" t="s">
        <v>458</v>
      </c>
    </row>
    <row r="7" spans="1:2" x14ac:dyDescent="0.2">
      <c r="A7" t="s">
        <v>256</v>
      </c>
      <c r="B7" t="s">
        <v>1174</v>
      </c>
    </row>
    <row r="8" spans="1:2" x14ac:dyDescent="0.2">
      <c r="A8" t="s">
        <v>391</v>
      </c>
      <c r="B8" t="s">
        <v>1175</v>
      </c>
    </row>
    <row r="9" spans="1:2" x14ac:dyDescent="0.2">
      <c r="A9" t="s">
        <v>206</v>
      </c>
      <c r="B9" t="s">
        <v>206</v>
      </c>
    </row>
    <row r="10" spans="1:2" x14ac:dyDescent="0.2">
      <c r="A10" t="s">
        <v>167</v>
      </c>
      <c r="B10" t="s">
        <v>1176</v>
      </c>
    </row>
    <row r="11" spans="1:2" x14ac:dyDescent="0.2">
      <c r="A11" t="s">
        <v>418</v>
      </c>
      <c r="B11" t="s">
        <v>418</v>
      </c>
    </row>
    <row r="12" spans="1:2" x14ac:dyDescent="0.2">
      <c r="A12" t="s">
        <v>447</v>
      </c>
      <c r="B12" t="s">
        <v>447</v>
      </c>
    </row>
    <row r="13" spans="1:2" x14ac:dyDescent="0.2">
      <c r="A13" t="s">
        <v>216</v>
      </c>
      <c r="B13" t="s">
        <v>216</v>
      </c>
    </row>
    <row r="14" spans="1:2" x14ac:dyDescent="0.2">
      <c r="A14" t="s">
        <v>201</v>
      </c>
      <c r="B14" t="s">
        <v>1177</v>
      </c>
    </row>
    <row r="15" spans="1:2" x14ac:dyDescent="0.2">
      <c r="A15" t="s">
        <v>287</v>
      </c>
      <c r="B15" t="s">
        <v>1178</v>
      </c>
    </row>
    <row r="16" spans="1:2" x14ac:dyDescent="0.2">
      <c r="A16" t="s">
        <v>298</v>
      </c>
      <c r="B16" t="s">
        <v>1179</v>
      </c>
    </row>
    <row r="17" spans="1:2" x14ac:dyDescent="0.2">
      <c r="A17" t="s">
        <v>332</v>
      </c>
      <c r="B17" t="s">
        <v>1180</v>
      </c>
    </row>
    <row r="18" spans="1:2" x14ac:dyDescent="0.2">
      <c r="A18" t="s">
        <v>363</v>
      </c>
      <c r="B18" t="s">
        <v>1181</v>
      </c>
    </row>
    <row r="19" spans="1:2" x14ac:dyDescent="0.2">
      <c r="A19" t="s">
        <v>225</v>
      </c>
      <c r="B19" t="s">
        <v>1182</v>
      </c>
    </row>
    <row r="20" spans="1:2" x14ac:dyDescent="0.2">
      <c r="A20" t="s">
        <v>205</v>
      </c>
      <c r="B20" t="s">
        <v>1183</v>
      </c>
    </row>
    <row r="21" spans="1:2" x14ac:dyDescent="0.2">
      <c r="A21" t="s">
        <v>209</v>
      </c>
      <c r="B21" t="s">
        <v>1184</v>
      </c>
    </row>
    <row r="22" spans="1:2" x14ac:dyDescent="0.2">
      <c r="A22" t="s">
        <v>265</v>
      </c>
      <c r="B22" t="s">
        <v>1185</v>
      </c>
    </row>
    <row r="23" spans="1:2" x14ac:dyDescent="0.2">
      <c r="A23" t="s">
        <v>262</v>
      </c>
      <c r="B23" t="s">
        <v>1186</v>
      </c>
    </row>
    <row r="24" spans="1:2" x14ac:dyDescent="0.2">
      <c r="A24" t="s">
        <v>326</v>
      </c>
      <c r="B24" t="s">
        <v>1187</v>
      </c>
    </row>
    <row r="25" spans="1:2" x14ac:dyDescent="0.2">
      <c r="A25" t="s">
        <v>385</v>
      </c>
      <c r="B25" t="s">
        <v>385</v>
      </c>
    </row>
    <row r="26" spans="1:2" x14ac:dyDescent="0.2">
      <c r="A26" t="s">
        <v>360</v>
      </c>
      <c r="B26" t="s">
        <v>1188</v>
      </c>
    </row>
    <row r="27" spans="1:2" x14ac:dyDescent="0.2">
      <c r="A27" t="s">
        <v>357</v>
      </c>
      <c r="B27" t="s">
        <v>1189</v>
      </c>
    </row>
    <row r="28" spans="1:2" x14ac:dyDescent="0.2">
      <c r="A28" t="s">
        <v>394</v>
      </c>
      <c r="B28" t="s">
        <v>394</v>
      </c>
    </row>
    <row r="29" spans="1:2" x14ac:dyDescent="0.2">
      <c r="A29" t="s">
        <v>434</v>
      </c>
      <c r="B29" t="s">
        <v>434</v>
      </c>
    </row>
    <row r="30" spans="1:2" x14ac:dyDescent="0.2">
      <c r="A30" t="s">
        <v>343</v>
      </c>
      <c r="B30" t="s">
        <v>1190</v>
      </c>
    </row>
    <row r="31" spans="1:2" x14ac:dyDescent="0.2">
      <c r="A31" t="s">
        <v>455</v>
      </c>
      <c r="B31" t="s">
        <v>1191</v>
      </c>
    </row>
    <row r="32" spans="1:2" x14ac:dyDescent="0.2">
      <c r="A32" t="s">
        <v>401</v>
      </c>
      <c r="B32" t="s">
        <v>1192</v>
      </c>
    </row>
    <row r="33" spans="1:2" x14ac:dyDescent="0.2">
      <c r="A33" t="s">
        <v>283</v>
      </c>
      <c r="B33" t="s">
        <v>1193</v>
      </c>
    </row>
    <row r="34" spans="1:2" x14ac:dyDescent="0.2">
      <c r="A34" t="s">
        <v>438</v>
      </c>
      <c r="B34" t="s">
        <v>438</v>
      </c>
    </row>
    <row r="35" spans="1:2" x14ac:dyDescent="0.2">
      <c r="A35" t="s">
        <v>222</v>
      </c>
      <c r="B35" t="s">
        <v>1194</v>
      </c>
    </row>
    <row r="36" spans="1:2" x14ac:dyDescent="0.2">
      <c r="A36" t="s">
        <v>370</v>
      </c>
      <c r="B36" t="s">
        <v>1195</v>
      </c>
    </row>
    <row r="37" spans="1:2" x14ac:dyDescent="0.2">
      <c r="A37" t="s">
        <v>372</v>
      </c>
      <c r="B37" t="s">
        <v>372</v>
      </c>
    </row>
    <row r="38" spans="1:2" x14ac:dyDescent="0.2">
      <c r="A38" t="s">
        <v>301</v>
      </c>
      <c r="B38" t="s">
        <v>1196</v>
      </c>
    </row>
    <row r="39" spans="1:2" x14ac:dyDescent="0.2">
      <c r="A39" t="s">
        <v>339</v>
      </c>
      <c r="B39" t="s">
        <v>339</v>
      </c>
    </row>
    <row r="40" spans="1:2" x14ac:dyDescent="0.2">
      <c r="A40" t="s">
        <v>426</v>
      </c>
      <c r="B40" t="s">
        <v>1197</v>
      </c>
    </row>
    <row r="41" spans="1:2" x14ac:dyDescent="0.2">
      <c r="A41" t="s">
        <v>311</v>
      </c>
      <c r="B41" t="s">
        <v>1198</v>
      </c>
    </row>
    <row r="42" spans="1:2" x14ac:dyDescent="0.2">
      <c r="A42" t="s">
        <v>345</v>
      </c>
      <c r="B42" t="s">
        <v>1199</v>
      </c>
    </row>
    <row r="43" spans="1:2" x14ac:dyDescent="0.2">
      <c r="A43" t="s">
        <v>295</v>
      </c>
      <c r="B43" t="s">
        <v>295</v>
      </c>
    </row>
    <row r="44" spans="1:2" x14ac:dyDescent="0.2">
      <c r="A44" t="s">
        <v>329</v>
      </c>
      <c r="B44" t="s">
        <v>1200</v>
      </c>
    </row>
    <row r="45" spans="1:2" x14ac:dyDescent="0.2">
      <c r="A45" t="s">
        <v>436</v>
      </c>
      <c r="B45" t="s">
        <v>436</v>
      </c>
    </row>
    <row r="46" spans="1:2" x14ac:dyDescent="0.2">
      <c r="A46" t="s">
        <v>253</v>
      </c>
      <c r="B46" t="s">
        <v>1201</v>
      </c>
    </row>
    <row r="47" spans="1:2" x14ac:dyDescent="0.2">
      <c r="A47" t="s">
        <v>440</v>
      </c>
      <c r="B47" t="s">
        <v>440</v>
      </c>
    </row>
    <row r="48" spans="1:2" x14ac:dyDescent="0.2">
      <c r="A48" t="s">
        <v>398</v>
      </c>
      <c r="B48" t="s">
        <v>1202</v>
      </c>
    </row>
    <row r="49" spans="1:2" x14ac:dyDescent="0.2">
      <c r="A49" t="s">
        <v>228</v>
      </c>
      <c r="B49" t="s">
        <v>1203</v>
      </c>
    </row>
    <row r="50" spans="1:2" x14ac:dyDescent="0.2">
      <c r="A50" t="s">
        <v>293</v>
      </c>
      <c r="B50" t="s">
        <v>1204</v>
      </c>
    </row>
    <row r="51" spans="1:2" x14ac:dyDescent="0.2">
      <c r="A51" t="s">
        <v>428</v>
      </c>
      <c r="B51" t="s">
        <v>1205</v>
      </c>
    </row>
    <row r="52" spans="1:2" x14ac:dyDescent="0.2">
      <c r="A52" t="s">
        <v>378</v>
      </c>
      <c r="B52" t="s">
        <v>1206</v>
      </c>
    </row>
    <row r="53" spans="1:2" x14ac:dyDescent="0.2">
      <c r="A53" t="s">
        <v>407</v>
      </c>
      <c r="B53" t="s">
        <v>1207</v>
      </c>
    </row>
    <row r="54" spans="1:2" x14ac:dyDescent="0.2">
      <c r="A54" t="s">
        <v>305</v>
      </c>
      <c r="B54" t="s">
        <v>1208</v>
      </c>
    </row>
    <row r="55" spans="1:2" x14ac:dyDescent="0.2">
      <c r="A55" t="s">
        <v>281</v>
      </c>
      <c r="B55" t="s">
        <v>1209</v>
      </c>
    </row>
    <row r="56" spans="1:2" x14ac:dyDescent="0.2">
      <c r="A56" t="s">
        <v>404</v>
      </c>
      <c r="B56" t="s">
        <v>1210</v>
      </c>
    </row>
    <row r="57" spans="1:2" x14ac:dyDescent="0.2">
      <c r="A57" t="s">
        <v>313</v>
      </c>
      <c r="B57" t="s">
        <v>1211</v>
      </c>
    </row>
    <row r="58" spans="1:2" x14ac:dyDescent="0.2">
      <c r="A58" t="s">
        <v>271</v>
      </c>
      <c r="B58" t="s">
        <v>271</v>
      </c>
    </row>
    <row r="59" spans="1:2" x14ac:dyDescent="0.2">
      <c r="A59" t="s">
        <v>445</v>
      </c>
      <c r="B59" t="s">
        <v>445</v>
      </c>
    </row>
    <row r="60" spans="1:2" x14ac:dyDescent="0.2">
      <c r="A60" t="s">
        <v>422</v>
      </c>
      <c r="B60" t="s">
        <v>422</v>
      </c>
    </row>
    <row r="61" spans="1:2" x14ac:dyDescent="0.2">
      <c r="A61" t="s">
        <v>259</v>
      </c>
      <c r="B61" t="s">
        <v>1212</v>
      </c>
    </row>
    <row r="62" spans="1:2" x14ac:dyDescent="0.2">
      <c r="A62" t="s">
        <v>347</v>
      </c>
      <c r="B62" t="s">
        <v>1213</v>
      </c>
    </row>
    <row r="63" spans="1:2" x14ac:dyDescent="0.2">
      <c r="A63" t="s">
        <v>322</v>
      </c>
      <c r="B63" t="s">
        <v>1214</v>
      </c>
    </row>
    <row r="64" spans="1:2" x14ac:dyDescent="0.2">
      <c r="A64" t="s">
        <v>290</v>
      </c>
      <c r="B64" t="s">
        <v>1215</v>
      </c>
    </row>
    <row r="65" spans="1:2" x14ac:dyDescent="0.2">
      <c r="A65" t="s">
        <v>431</v>
      </c>
      <c r="B65" t="s">
        <v>1216</v>
      </c>
    </row>
    <row r="66" spans="1:2" x14ac:dyDescent="0.2">
      <c r="A66" t="s">
        <v>413</v>
      </c>
      <c r="B66" t="s">
        <v>1217</v>
      </c>
    </row>
    <row r="67" spans="1:2" x14ac:dyDescent="0.2">
      <c r="A67" t="s">
        <v>367</v>
      </c>
      <c r="B67" t="s">
        <v>1218</v>
      </c>
    </row>
    <row r="68" spans="1:2" x14ac:dyDescent="0.2">
      <c r="A68" t="s">
        <v>382</v>
      </c>
      <c r="B68" t="s">
        <v>1219</v>
      </c>
    </row>
    <row r="69" spans="1:2" x14ac:dyDescent="0.2">
      <c r="A69" t="s">
        <v>316</v>
      </c>
      <c r="B69" t="s">
        <v>1220</v>
      </c>
    </row>
    <row r="70" spans="1:2" x14ac:dyDescent="0.2">
      <c r="A70" t="s">
        <v>242</v>
      </c>
      <c r="B70" t="s">
        <v>1221</v>
      </c>
    </row>
    <row r="71" spans="1:2" x14ac:dyDescent="0.2">
      <c r="A71" t="s">
        <v>246</v>
      </c>
      <c r="B71" t="s">
        <v>1222</v>
      </c>
    </row>
    <row r="72" spans="1:2" x14ac:dyDescent="0.2">
      <c r="A72" t="s">
        <v>268</v>
      </c>
      <c r="B72" t="s">
        <v>268</v>
      </c>
    </row>
    <row r="73" spans="1:2" x14ac:dyDescent="0.2">
      <c r="A73" t="s">
        <v>443</v>
      </c>
      <c r="B73" t="s">
        <v>1223</v>
      </c>
    </row>
    <row r="74" spans="1:2" x14ac:dyDescent="0.2">
      <c r="A74" t="s">
        <v>451</v>
      </c>
      <c r="B74" t="s">
        <v>451</v>
      </c>
    </row>
    <row r="75" spans="1:2" x14ac:dyDescent="0.2">
      <c r="A75" t="s">
        <v>172</v>
      </c>
      <c r="B75" t="s">
        <v>172</v>
      </c>
    </row>
    <row r="76" spans="1:2" x14ac:dyDescent="0.2">
      <c r="A76" t="s">
        <v>353</v>
      </c>
      <c r="B76" t="s">
        <v>1224</v>
      </c>
    </row>
    <row r="77" spans="1:2" x14ac:dyDescent="0.2">
      <c r="A77" t="s">
        <v>308</v>
      </c>
      <c r="B77" t="s">
        <v>1225</v>
      </c>
    </row>
    <row r="78" spans="1:2" x14ac:dyDescent="0.2">
      <c r="A78" t="s">
        <v>249</v>
      </c>
      <c r="B78" t="s">
        <v>1226</v>
      </c>
    </row>
    <row r="79" spans="1:2" x14ac:dyDescent="0.2">
      <c r="A79" t="s">
        <v>231</v>
      </c>
      <c r="B79" t="s">
        <v>1227</v>
      </c>
    </row>
    <row r="80" spans="1:2" x14ac:dyDescent="0.2">
      <c r="A80" t="s">
        <v>416</v>
      </c>
      <c r="B80" t="s">
        <v>1228</v>
      </c>
    </row>
    <row r="81" spans="1:2" x14ac:dyDescent="0.2">
      <c r="A81" t="s">
        <v>278</v>
      </c>
      <c r="B81" t="s">
        <v>1229</v>
      </c>
    </row>
    <row r="82" spans="1:2" x14ac:dyDescent="0.2">
      <c r="A82" t="s">
        <v>375</v>
      </c>
      <c r="B82" t="s">
        <v>1230</v>
      </c>
    </row>
    <row r="83" spans="1:2" x14ac:dyDescent="0.2">
      <c r="A83" t="s">
        <v>421</v>
      </c>
      <c r="B83" t="s">
        <v>1231</v>
      </c>
    </row>
    <row r="84" spans="1:2" x14ac:dyDescent="0.2">
      <c r="A84" t="s">
        <v>388</v>
      </c>
      <c r="B84" t="s">
        <v>1232</v>
      </c>
    </row>
    <row r="85" spans="1:2" x14ac:dyDescent="0.2">
      <c r="A85" t="s">
        <v>461</v>
      </c>
      <c r="B85" t="s">
        <v>461</v>
      </c>
    </row>
    <row r="86" spans="1:2" x14ac:dyDescent="0.2">
      <c r="A86" t="s">
        <v>274</v>
      </c>
      <c r="B86" t="s">
        <v>1233</v>
      </c>
    </row>
    <row r="87" spans="1:2" x14ac:dyDescent="0.2">
      <c r="A87" t="s">
        <v>238</v>
      </c>
      <c r="B87" t="s">
        <v>1234</v>
      </c>
    </row>
    <row r="88" spans="1:2" x14ac:dyDescent="0.2">
      <c r="A88" t="s">
        <v>350</v>
      </c>
      <c r="B88" t="s">
        <v>1235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ColWidth="9.140625" defaultRowHeight="12.75" x14ac:dyDescent="0.2"/>
  <sheetData>
    <row r="1" spans="1:2" x14ac:dyDescent="0.2">
      <c r="A1" t="s">
        <v>1236</v>
      </c>
      <c r="B1" t="s">
        <v>757</v>
      </c>
    </row>
    <row r="2" spans="1:2" x14ac:dyDescent="0.2">
      <c r="A2" t="s">
        <v>381</v>
      </c>
      <c r="B2" t="s">
        <v>1237</v>
      </c>
    </row>
    <row r="3" spans="1:2" x14ac:dyDescent="0.2">
      <c r="A3" t="s">
        <v>397</v>
      </c>
      <c r="B3" t="s">
        <v>1238</v>
      </c>
    </row>
    <row r="4" spans="1:2" x14ac:dyDescent="0.2">
      <c r="A4" t="s">
        <v>356</v>
      </c>
      <c r="B4" t="s">
        <v>1239</v>
      </c>
    </row>
    <row r="5" spans="1:2" x14ac:dyDescent="0.2">
      <c r="A5" t="s">
        <v>342</v>
      </c>
      <c r="B5" t="s">
        <v>342</v>
      </c>
    </row>
    <row r="6" spans="1:2" x14ac:dyDescent="0.2">
      <c r="A6" t="s">
        <v>261</v>
      </c>
      <c r="B6" t="s">
        <v>1240</v>
      </c>
    </row>
    <row r="7" spans="1:2" x14ac:dyDescent="0.2">
      <c r="A7" t="s">
        <v>200</v>
      </c>
      <c r="B7" t="s">
        <v>200</v>
      </c>
    </row>
    <row r="8" spans="1:2" x14ac:dyDescent="0.2">
      <c r="A8" t="s">
        <v>366</v>
      </c>
      <c r="B8" t="s">
        <v>366</v>
      </c>
    </row>
    <row r="9" spans="1:2" x14ac:dyDescent="0.2">
      <c r="A9" t="s">
        <v>425</v>
      </c>
      <c r="B9" t="s">
        <v>1241</v>
      </c>
    </row>
    <row r="10" spans="1:2" x14ac:dyDescent="0.2">
      <c r="A10" t="s">
        <v>52</v>
      </c>
      <c r="B10"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283</vt:i4>
      </vt:variant>
    </vt:vector>
  </HeadingPairs>
  <TitlesOfParts>
    <vt:vector size="304" baseType="lpstr">
      <vt:lpstr>RA Form</vt:lpstr>
      <vt:lpstr>Sheet1</vt:lpstr>
      <vt:lpstr>Action Tracker</vt:lpstr>
      <vt:lpstr>Tablas Guia</vt:lpstr>
      <vt:lpstr>Tablas EPP</vt:lpstr>
      <vt:lpstr>Tabla Guia de Peligros</vt:lpstr>
      <vt:lpstr>example Hazards &amp;aspects</vt:lpstr>
      <vt:lpstr>example consequences &amp; impacts</vt:lpstr>
      <vt:lpstr>Example ASPECTs</vt:lpstr>
      <vt:lpstr>DD - Parts of the Body</vt:lpstr>
      <vt:lpstr>DD - PPE</vt:lpstr>
      <vt:lpstr>DD - CONTROLS</vt:lpstr>
      <vt:lpstr>INSTRUCTIONS</vt:lpstr>
      <vt:lpstr>Listas_Riesgos</vt:lpstr>
      <vt:lpstr>Listas_Controles</vt:lpstr>
      <vt:lpstr>Map_Controles</vt:lpstr>
      <vt:lpstr>Listas_EPP</vt:lpstr>
      <vt:lpstr>Map_EPP</vt:lpstr>
      <vt:lpstr>Listas_Consecuencias</vt:lpstr>
      <vt:lpstr>Map_Consecuencias</vt:lpstr>
      <vt:lpstr>Map_Riesgos</vt:lpstr>
      <vt:lpstr>Abrasion_friccion</vt:lpstr>
      <vt:lpstr>Abrasion_friccion_ctrl</vt:lpstr>
      <vt:lpstr>Abrasion_friccion_epp</vt:lpstr>
      <vt:lpstr>Actividad_de_terceros</vt:lpstr>
      <vt:lpstr>Actividad_de_terceros_ctrl</vt:lpstr>
      <vt:lpstr>Actividad_de_terceros_epp</vt:lpstr>
      <vt:lpstr>Actividades_de_trabajo</vt:lpstr>
      <vt:lpstr>Agarre_deficiente</vt:lpstr>
      <vt:lpstr>Agarre_deficiente_ctrl</vt:lpstr>
      <vt:lpstr>Agarre_deficiente_epp</vt:lpstr>
      <vt:lpstr>Ahogamiento</vt:lpstr>
      <vt:lpstr>Ahogamiento_ctrl</vt:lpstr>
      <vt:lpstr>Ahogamiento_epp</vt:lpstr>
      <vt:lpstr>Allanamiento</vt:lpstr>
      <vt:lpstr>Allanamiento_ctrl</vt:lpstr>
      <vt:lpstr>Allanamiento_epp</vt:lpstr>
      <vt:lpstr>Alta_o_baja_presion</vt:lpstr>
      <vt:lpstr>Alta_o_baja_presion_ctrl</vt:lpstr>
      <vt:lpstr>Alta_o_baja_presion_epp</vt:lpstr>
      <vt:lpstr>Animales_plantas</vt:lpstr>
      <vt:lpstr>Animales_plantas_ctrl</vt:lpstr>
      <vt:lpstr>Animales_plantas_epp</vt:lpstr>
      <vt:lpstr>Aplastamiento</vt:lpstr>
      <vt:lpstr>Aplastamiento_ctrl</vt:lpstr>
      <vt:lpstr>Aplastamiento_epp</vt:lpstr>
      <vt:lpstr>Arco_electrico</vt:lpstr>
      <vt:lpstr>Arco_electrico_ctrl</vt:lpstr>
      <vt:lpstr>Arco_electrico_epp</vt:lpstr>
      <vt:lpstr>Arrodillarse</vt:lpstr>
      <vt:lpstr>Arrodillarse_ctrl</vt:lpstr>
      <vt:lpstr>Arrodillarse_epp</vt:lpstr>
      <vt:lpstr>Asbesto</vt:lpstr>
      <vt:lpstr>Asbesto_ctrl</vt:lpstr>
      <vt:lpstr>Asbesto_epp</vt:lpstr>
      <vt:lpstr>Atrapamiento</vt:lpstr>
      <vt:lpstr>Atrapamiento_ctrl</vt:lpstr>
      <vt:lpstr>Atrapamiento_epp</vt:lpstr>
      <vt:lpstr>Bordes_afilados</vt:lpstr>
      <vt:lpstr>Bordes_afilados_ctrl</vt:lpstr>
      <vt:lpstr>Bordes_afilados_epp</vt:lpstr>
      <vt:lpstr>Caida_a_nivel</vt:lpstr>
      <vt:lpstr>Caida_a_nivel_ctrl</vt:lpstr>
      <vt:lpstr>Caida_a_nivel_epp</vt:lpstr>
      <vt:lpstr>Caidas_de_altura</vt:lpstr>
      <vt:lpstr>Caidas_de_altura_ctrl</vt:lpstr>
      <vt:lpstr>Caidas_de_altura_epp</vt:lpstr>
      <vt:lpstr>Calidad_del_aire</vt:lpstr>
      <vt:lpstr>Calidad_del_aire_ctrl</vt:lpstr>
      <vt:lpstr>Calidad_del_aire_epp</vt:lpstr>
      <vt:lpstr>Calor_excesivo</vt:lpstr>
      <vt:lpstr>Calor_excesivo_ctrl</vt:lpstr>
      <vt:lpstr>Calor_excesivo_epp</vt:lpstr>
      <vt:lpstr>Campos_electromagneticos</vt:lpstr>
      <vt:lpstr>Campos_electromagneticos_ctrl</vt:lpstr>
      <vt:lpstr>Campos_electromagneticos_epp</vt:lpstr>
      <vt:lpstr>Carga_electrostatica</vt:lpstr>
      <vt:lpstr>Carga_electrostatica_ctrl</vt:lpstr>
      <vt:lpstr>Carga_electrostatica_epp</vt:lpstr>
      <vt:lpstr>Carga_suspendida</vt:lpstr>
      <vt:lpstr>Carga_suspendida_ctrl</vt:lpstr>
      <vt:lpstr>Carga_suspendida_epp</vt:lpstr>
      <vt:lpstr>Cargas_en_movimiento</vt:lpstr>
      <vt:lpstr>Cargas_en_movimiento_ctrl</vt:lpstr>
      <vt:lpstr>Cargas_en_movimiento_epp</vt:lpstr>
      <vt:lpstr>Cargas_inestables</vt:lpstr>
      <vt:lpstr>Cargas_inestables_ctrl</vt:lpstr>
      <vt:lpstr>Cargas_inestables_epp</vt:lpstr>
      <vt:lpstr>Clima_extremo</vt:lpstr>
      <vt:lpstr>Clima_extremo_ctrl</vt:lpstr>
      <vt:lpstr>Clima_extremo_epp</vt:lpstr>
      <vt:lpstr>Conducir</vt:lpstr>
      <vt:lpstr>Conducir_ctrl</vt:lpstr>
      <vt:lpstr>Conducir_epp</vt:lpstr>
      <vt:lpstr>Conductores_danados</vt:lpstr>
      <vt:lpstr>Conductores_danados_ctrl</vt:lpstr>
      <vt:lpstr>Conductores_danados_epp</vt:lpstr>
      <vt:lpstr>Conductores_energizados</vt:lpstr>
      <vt:lpstr>Conductores_energizados_ctrl</vt:lpstr>
      <vt:lpstr>Conductores_energizados_epp</vt:lpstr>
      <vt:lpstr>Contratistas</vt:lpstr>
      <vt:lpstr>Contratistas_ctrl</vt:lpstr>
      <vt:lpstr>Contratistas_epp</vt:lpstr>
      <vt:lpstr>Corporal</vt:lpstr>
      <vt:lpstr>Corrosivos</vt:lpstr>
      <vt:lpstr>Corrosivos_ctrl</vt:lpstr>
      <vt:lpstr>Corrosivos_epp</vt:lpstr>
      <vt:lpstr>Cuchillas_puntas</vt:lpstr>
      <vt:lpstr>Cuchillas_puntas_ctrl</vt:lpstr>
      <vt:lpstr>Cuchillas_puntas_epp</vt:lpstr>
      <vt:lpstr>Dano_a_propiedad</vt:lpstr>
      <vt:lpstr>Dano_a_propiedad_ctrl</vt:lpstr>
      <vt:lpstr>Dano_a_propiedad_epp</vt:lpstr>
      <vt:lpstr>Electrico</vt:lpstr>
      <vt:lpstr>Empuje_jalon</vt:lpstr>
      <vt:lpstr>Empuje_jalon_ctrl</vt:lpstr>
      <vt:lpstr>Empuje_jalon_epp</vt:lpstr>
      <vt:lpstr>Env_or_H_S</vt:lpstr>
      <vt:lpstr>Env_or_H_S_ctrl</vt:lpstr>
      <vt:lpstr>Env_or_H_S_epp</vt:lpstr>
      <vt:lpstr>Ergonomia</vt:lpstr>
      <vt:lpstr>Espacio_confinado</vt:lpstr>
      <vt:lpstr>Espacio_confinado_ctrl</vt:lpstr>
      <vt:lpstr>Espacio_confinado_epp</vt:lpstr>
      <vt:lpstr>Explosivos</vt:lpstr>
      <vt:lpstr>Explosivos_ctrl</vt:lpstr>
      <vt:lpstr>Explosivos_epp</vt:lpstr>
      <vt:lpstr>Eyeccion_de_material</vt:lpstr>
      <vt:lpstr>Eyeccion_de_material_ctrl</vt:lpstr>
      <vt:lpstr>Eyeccion_de_material_epp</vt:lpstr>
      <vt:lpstr>Falta_de_familiaridad</vt:lpstr>
      <vt:lpstr>Falta_de_familiaridad_ctrl</vt:lpstr>
      <vt:lpstr>Falta_de_familiaridad_epp</vt:lpstr>
      <vt:lpstr>Fatiga</vt:lpstr>
      <vt:lpstr>Fatiga_ctrl</vt:lpstr>
      <vt:lpstr>Fatiga_epp</vt:lpstr>
      <vt:lpstr>Frio_extremo</vt:lpstr>
      <vt:lpstr>Frio_extremo_ctrl</vt:lpstr>
      <vt:lpstr>Frio_extremo_epp</vt:lpstr>
      <vt:lpstr>Fuego</vt:lpstr>
      <vt:lpstr>Fuego_ctrl</vt:lpstr>
      <vt:lpstr>Fuego_epp</vt:lpstr>
      <vt:lpstr>Gases_toxicos</vt:lpstr>
      <vt:lpstr>Gases_toxicos_ctrl</vt:lpstr>
      <vt:lpstr>Gases_toxicos_epp</vt:lpstr>
      <vt:lpstr>Golpes_con_objetos</vt:lpstr>
      <vt:lpstr>Golpes_con_objetos_ctrl</vt:lpstr>
      <vt:lpstr>Golpes_con_objetos_epp</vt:lpstr>
      <vt:lpstr>Herramientas</vt:lpstr>
      <vt:lpstr>Herramientas_Ergonomia</vt:lpstr>
      <vt:lpstr>Herramientas_manuales</vt:lpstr>
      <vt:lpstr>Herramientas_manuales_ctrl</vt:lpstr>
      <vt:lpstr>Herramientas_manuales_epp</vt:lpstr>
      <vt:lpstr>Humedad</vt:lpstr>
      <vt:lpstr>Humedad_ctrl</vt:lpstr>
      <vt:lpstr>Humedad_epp</vt:lpstr>
      <vt:lpstr>Ignicion_accidental</vt:lpstr>
      <vt:lpstr>Ignicion_accidental_ctrl</vt:lpstr>
      <vt:lpstr>Ignicion_accidental_epp</vt:lpstr>
      <vt:lpstr>Inflamables</vt:lpstr>
      <vt:lpstr>Inflamables_ctrl</vt:lpstr>
      <vt:lpstr>Inflamables_epp</vt:lpstr>
      <vt:lpstr>Inyeccion_por_presion</vt:lpstr>
      <vt:lpstr>Inyeccion_por_presion_ctrl</vt:lpstr>
      <vt:lpstr>Inyeccion_por_presion_epp</vt:lpstr>
      <vt:lpstr>Irritantes</vt:lpstr>
      <vt:lpstr>Irritantes_ctrl</vt:lpstr>
      <vt:lpstr>Irritantes_epp</vt:lpstr>
      <vt:lpstr>Levantamiento_manual</vt:lpstr>
      <vt:lpstr>Levantamiento_manual_ctrl</vt:lpstr>
      <vt:lpstr>Levantamiento_manual_epp</vt:lpstr>
      <vt:lpstr>Liberacion_de_energia</vt:lpstr>
      <vt:lpstr>Liberacion_de_energia_ctrl</vt:lpstr>
      <vt:lpstr>Liberacion_de_energia_epp</vt:lpstr>
      <vt:lpstr>Liquidos_toxicos</vt:lpstr>
      <vt:lpstr>Liquidos_toxicos_ctrl</vt:lpstr>
      <vt:lpstr>Liquidos_toxicos_epp</vt:lpstr>
      <vt:lpstr>ListaCategoriasRiesgo</vt:lpstr>
      <vt:lpstr>Lugar_de_trabajo</vt:lpstr>
      <vt:lpstr>Luz_excesiva</vt:lpstr>
      <vt:lpstr>Luz_excesiva_ctrl</vt:lpstr>
      <vt:lpstr>Luz_excesiva_epp</vt:lpstr>
      <vt:lpstr>Mala_organizacion</vt:lpstr>
      <vt:lpstr>Mala_organizacion_ctrl</vt:lpstr>
      <vt:lpstr>Mala_organizacion_epp</vt:lpstr>
      <vt:lpstr>Mala_postura</vt:lpstr>
      <vt:lpstr>Mala_postura_ctrl</vt:lpstr>
      <vt:lpstr>Mala_postura_epp</vt:lpstr>
      <vt:lpstr>Material_combustible</vt:lpstr>
      <vt:lpstr>Material_combustible_ctrl</vt:lpstr>
      <vt:lpstr>Material_combustible_epp</vt:lpstr>
      <vt:lpstr>Materiales_suspendidos</vt:lpstr>
      <vt:lpstr>Materiales_suspendidos_ctrl</vt:lpstr>
      <vt:lpstr>Materiales_suspendidos_epp</vt:lpstr>
      <vt:lpstr>Mecanico</vt:lpstr>
      <vt:lpstr>Medio_Ambiente</vt:lpstr>
      <vt:lpstr>Medio_Ambiente_ctrl</vt:lpstr>
      <vt:lpstr>Movimientos_repetitivos</vt:lpstr>
      <vt:lpstr>Movimientos_repetitivos_ctrl</vt:lpstr>
      <vt:lpstr>Movimientos_repetitivos_epp</vt:lpstr>
      <vt:lpstr>Objetos_que_caen</vt:lpstr>
      <vt:lpstr>Objetos_que_caen_ctrl</vt:lpstr>
      <vt:lpstr>Objetos_que_caen_epp</vt:lpstr>
      <vt:lpstr>Obstrucciones</vt:lpstr>
      <vt:lpstr>Obstrucciones_ctrl</vt:lpstr>
      <vt:lpstr>Obstrucciones_epp</vt:lpstr>
      <vt:lpstr>'Tablas Guia'!OLE_LINK13</vt:lpstr>
      <vt:lpstr>Oxidantes</vt:lpstr>
      <vt:lpstr>Oxidantes_ctrl</vt:lpstr>
      <vt:lpstr>Oxidantes_epp</vt:lpstr>
      <vt:lpstr>Pandemia</vt:lpstr>
      <vt:lpstr>Pandemia_ctrl</vt:lpstr>
      <vt:lpstr>Pandemia_epp</vt:lpstr>
      <vt:lpstr>Partes_moviles</vt:lpstr>
      <vt:lpstr>Partes_moviles_ctrl</vt:lpstr>
      <vt:lpstr>Partes_moviles_epp</vt:lpstr>
      <vt:lpstr>Particulas_expulsadas</vt:lpstr>
      <vt:lpstr>Particulas_expulsadas_ctrl</vt:lpstr>
      <vt:lpstr>Particulas_expulsadas_epp</vt:lpstr>
      <vt:lpstr>partsofbody</vt:lpstr>
      <vt:lpstr>Patogenos</vt:lpstr>
      <vt:lpstr>Patogenos_ctrl</vt:lpstr>
      <vt:lpstr>Patogenos_epp</vt:lpstr>
      <vt:lpstr>Poca_iluminacion</vt:lpstr>
      <vt:lpstr>Poca_iluminacion_ctrl</vt:lpstr>
      <vt:lpstr>Poca_iluminacion_epp</vt:lpstr>
      <vt:lpstr>Polvos_toxicos</vt:lpstr>
      <vt:lpstr>Polvos_toxicos_ctrl</vt:lpstr>
      <vt:lpstr>Polvos_toxicos_epp</vt:lpstr>
      <vt:lpstr>Postura_prolongada</vt:lpstr>
      <vt:lpstr>Postura_prolongada_ctrl</vt:lpstr>
      <vt:lpstr>Postura_prolongada_epp</vt:lpstr>
      <vt:lpstr>PPE</vt:lpstr>
      <vt:lpstr>Presion_laboral</vt:lpstr>
      <vt:lpstr>Presion_laboral_ctrl</vt:lpstr>
      <vt:lpstr>Presion_laboral_epp</vt:lpstr>
      <vt:lpstr>Prueba_de_producto</vt:lpstr>
      <vt:lpstr>Prueba_de_producto_ctrl</vt:lpstr>
      <vt:lpstr>Prueba_de_producto_epp</vt:lpstr>
      <vt:lpstr>Psicosocial</vt:lpstr>
      <vt:lpstr>Quimicos</vt:lpstr>
      <vt:lpstr>Radiacion</vt:lpstr>
      <vt:lpstr>Radiacion_ctrl</vt:lpstr>
      <vt:lpstr>Radiacion_epp</vt:lpstr>
      <vt:lpstr>Radiacion_ionizante</vt:lpstr>
      <vt:lpstr>Radiacion_ionizante_ctrl</vt:lpstr>
      <vt:lpstr>Radiacion_ionizante_epp</vt:lpstr>
      <vt:lpstr>Radiacion_no_ionizante</vt:lpstr>
      <vt:lpstr>Radiacion_no_ionizante_ctrl</vt:lpstr>
      <vt:lpstr>Radiacion_no_ionizante_epp</vt:lpstr>
      <vt:lpstr>Resbalones</vt:lpstr>
      <vt:lpstr>Resbalones_ctrl</vt:lpstr>
      <vt:lpstr>Resbalones_epp</vt:lpstr>
      <vt:lpstr>Respiratorios_irritantes</vt:lpstr>
      <vt:lpstr>Respiratorios_irritantes_ctrl</vt:lpstr>
      <vt:lpstr>Respiratorios_irritantes_epp</vt:lpstr>
      <vt:lpstr>Robo</vt:lpstr>
      <vt:lpstr>Robo_ctrl</vt:lpstr>
      <vt:lpstr>Robo_epp</vt:lpstr>
      <vt:lpstr>Ruido</vt:lpstr>
      <vt:lpstr>Ruido_ctrl</vt:lpstr>
      <vt:lpstr>Ruido_epp</vt:lpstr>
      <vt:lpstr>Ruido_herramientas</vt:lpstr>
      <vt:lpstr>Ruido_herramientas_ctrl</vt:lpstr>
      <vt:lpstr>Ruido_herramientas_epp</vt:lpstr>
      <vt:lpstr>Salud_ctrl</vt:lpstr>
      <vt:lpstr>Seguridad</vt:lpstr>
      <vt:lpstr>Seguridad_ctrl</vt:lpstr>
      <vt:lpstr>Servicios_desconocidos</vt:lpstr>
      <vt:lpstr>Servicios_desconocidos_ctrl</vt:lpstr>
      <vt:lpstr>Servicios_desconocidos_epp</vt:lpstr>
      <vt:lpstr>Sistema_de_presion</vt:lpstr>
      <vt:lpstr>Sistema_de_presion_ctrl</vt:lpstr>
      <vt:lpstr>Sistema_de_presion_epp</vt:lpstr>
      <vt:lpstr>Superficie_caliente_fria</vt:lpstr>
      <vt:lpstr>Superficie_caliente_fria_ctrl</vt:lpstr>
      <vt:lpstr>Superficie_caliente_fria_epp</vt:lpstr>
      <vt:lpstr>Torsion</vt:lpstr>
      <vt:lpstr>Torsion_ctrl</vt:lpstr>
      <vt:lpstr>Torsion_epp</vt:lpstr>
      <vt:lpstr>Trabajo_en_altura</vt:lpstr>
      <vt:lpstr>Trabajo_en_altura_ctrl</vt:lpstr>
      <vt:lpstr>Trabajo_en_altura_epp</vt:lpstr>
      <vt:lpstr>Trabajo_en_solitario</vt:lpstr>
      <vt:lpstr>Trabajo_en_solitario_ctrl</vt:lpstr>
      <vt:lpstr>Trabajo_en_solitario_epp</vt:lpstr>
      <vt:lpstr>Trabajo_estatico</vt:lpstr>
      <vt:lpstr>Trabajo_estatico_ctrl</vt:lpstr>
      <vt:lpstr>Trabajo_estatico_epp</vt:lpstr>
      <vt:lpstr>Trabajo_movil</vt:lpstr>
      <vt:lpstr>Trabajo_movil_ctrl</vt:lpstr>
      <vt:lpstr>Trabajo_movil_epp</vt:lpstr>
      <vt:lpstr>Vandalismo</vt:lpstr>
      <vt:lpstr>Vandalismo_ctrl</vt:lpstr>
      <vt:lpstr>Vandalismo_epp</vt:lpstr>
      <vt:lpstr>Vehiculos_trafico</vt:lpstr>
      <vt:lpstr>Vehiculos_trafico_ctrl</vt:lpstr>
      <vt:lpstr>Vehiculos_trafico_epp</vt:lpstr>
      <vt:lpstr>Vibracion</vt:lpstr>
      <vt:lpstr>Vibracion_ctrl</vt:lpstr>
      <vt:lpstr>Vibracion_epp</vt:lpstr>
      <vt:lpstr>Vibracion_herramientas</vt:lpstr>
      <vt:lpstr>Vibracion_herramientas_ctrl</vt:lpstr>
      <vt:lpstr>Vibracion_herramientas_epp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Guajana_Skyers@jabil.com;Alejandro Torres</dc:creator>
  <cp:keywords/>
  <dc:description/>
  <cp:lastModifiedBy>svccor_jdoc</cp:lastModifiedBy>
  <cp:revision/>
  <dcterms:created xsi:type="dcterms:W3CDTF">2007-12-17T15:40:03Z</dcterms:created>
  <dcterms:modified xsi:type="dcterms:W3CDTF">2026-02-17T03:22:54Z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raining">
    <vt:lpwstr>,</vt:lpwstr>
  </property>
  <property fmtid="{D5CDD505-2E9C-101B-9397-08002B2CF9AE}" pid="4" name="Category0">
    <vt:lpwstr/>
  </property>
  <property fmtid="{D5CDD505-2E9C-101B-9397-08002B2CF9AE}" pid="5" name="ContentTypeId">
    <vt:lpwstr>0x0101003006A9C23AE7384E8D375ABEF0956BBC</vt:lpwstr>
  </property>
  <property fmtid="{D5CDD505-2E9C-101B-9397-08002B2CF9AE}" pid="6" name="display_urn:schemas-microsoft-com:office:office#SharedWithUsers">
    <vt:lpwstr>Chad McClimans</vt:lpwstr>
  </property>
  <property fmtid="{D5CDD505-2E9C-101B-9397-08002B2CF9AE}" pid="7" name="SharedWithUsers">
    <vt:lpwstr>6;#Chad McClimans</vt:lpwstr>
  </property>
  <property fmtid="{D5CDD505-2E9C-101B-9397-08002B2CF9AE}" pid="8" name="JDOC_STAT">
    <vt:lpwstr>RELEASED</vt:lpwstr>
  </property>
  <property fmtid="{D5CDD505-2E9C-101B-9397-08002B2CF9AE}" pid="9" name="JDOC_NUM">
    <vt:lpwstr>16-HS80-8000-00019</vt:lpwstr>
  </property>
  <property fmtid="{D5CDD505-2E9C-101B-9397-08002B2CF9AE}" pid="10" name="JDOC_REV">
    <vt:lpwstr>C</vt:lpwstr>
  </property>
  <property fmtid="{D5CDD505-2E9C-101B-9397-08002B2CF9AE}" pid="11" name="JDOC_TITLE">
    <vt:lpwstr>Analisis de riesgos para tareas</vt:lpwstr>
  </property>
  <property fmtid="{D5CDD505-2E9C-101B-9397-08002B2CF9AE}" pid="12" name="JDOC_NOTES">
    <vt:lpwstr>20260211-185241-4119837-NOTES Se actualiza el formato local debido a actualización del formato del estándar corportativo con nueva revisión     </vt:lpwstr>
  </property>
  <property fmtid="{D5CDD505-2E9C-101B-9397-08002B2CF9AE}" pid="13" name="JDOC_AUTHID">
    <vt:lpwstr>4119837</vt:lpwstr>
  </property>
  <property fmtid="{D5CDD505-2E9C-101B-9397-08002B2CF9AE}" pid="14" name="JDOC_AUTHNAME">
    <vt:lpwstr>Naiade,Cruces</vt:lpwstr>
  </property>
  <property fmtid="{D5CDD505-2E9C-101B-9397-08002B2CF9AE}" pid="15" name="JDOC_OWNID">
    <vt:lpwstr>3405021</vt:lpwstr>
  </property>
  <property fmtid="{D5CDD505-2E9C-101B-9397-08002B2CF9AE}" pid="16" name="JDOC_OWNNAME">
    <vt:lpwstr>TANHIA,CORDOBA</vt:lpwstr>
  </property>
  <property fmtid="{D5CDD505-2E9C-101B-9397-08002B2CF9AE}" pid="17" name="JDOC_FUNC">
    <vt:lpwstr/>
  </property>
  <property fmtid="{D5CDD505-2E9C-101B-9397-08002B2CF9AE}" pid="18" name="JDOC_CR_DT">
    <vt:lpwstr>11 FEB 2026</vt:lpwstr>
  </property>
  <property fmtid="{D5CDD505-2E9C-101B-9397-08002B2CF9AE}" pid="19" name="JDOC_RL_DT">
    <vt:lpwstr>16 FEB 2026</vt:lpwstr>
  </property>
  <property fmtid="{D5CDD505-2E9C-101B-9397-08002B2CF9AE}" pid="20" name="JDOC_EF_DT">
    <vt:lpwstr>16 FEB 2026</vt:lpwstr>
  </property>
  <property fmtid="{D5CDD505-2E9C-101B-9397-08002B2CF9AE}" pid="21" name="JDOC_EX_DT">
    <vt:lpwstr>16 FEB 2026</vt:lpwstr>
  </property>
  <property fmtid="{D5CDD505-2E9C-101B-9397-08002B2CF9AE}" pid="22" name="JDOC_RV_DT">
    <vt:lpwstr>16 FEB 2026</vt:lpwstr>
  </property>
  <property fmtid="{D5CDD505-2E9C-101B-9397-08002B2CF9AE}" pid="23" name="JDOC_CUST">
    <vt:lpwstr>ALL PLANT</vt:lpwstr>
  </property>
  <property fmtid="{D5CDD505-2E9C-101B-9397-08002B2CF9AE}" pid="24" name="JDOC_WKCL">
    <vt:lpwstr/>
  </property>
  <property fmtid="{D5CDD505-2E9C-101B-9397-08002B2CF9AE}" pid="25" name="JDOC_FIELD01">
    <vt:lpwstr/>
  </property>
  <property fmtid="{D5CDD505-2E9C-101B-9397-08002B2CF9AE}" pid="26" name="JDOC_FIELD02">
    <vt:lpwstr/>
  </property>
  <property fmtid="{D5CDD505-2E9C-101B-9397-08002B2CF9AE}" pid="27" name="JDOC_FIELD03">
    <vt:lpwstr/>
  </property>
  <property fmtid="{D5CDD505-2E9C-101B-9397-08002B2CF9AE}" pid="28" name="JDOC_FIELD04">
    <vt:lpwstr/>
  </property>
  <property fmtid="{D5CDD505-2E9C-101B-9397-08002B2CF9AE}" pid="29" name="JDOC_FIELD05">
    <vt:lpwstr/>
  </property>
  <property fmtid="{D5CDD505-2E9C-101B-9397-08002B2CF9AE}" pid="30" name="JDOC_FIELD06">
    <vt:lpwstr/>
  </property>
  <property fmtid="{D5CDD505-2E9C-101B-9397-08002B2CF9AE}" pid="31" name="JDOC_FIELD07">
    <vt:lpwstr/>
  </property>
  <property fmtid="{D5CDD505-2E9C-101B-9397-08002B2CF9AE}" pid="32" name="JDOC_FIELD08">
    <vt:lpwstr/>
  </property>
  <property fmtid="{D5CDD505-2E9C-101B-9397-08002B2CF9AE}" pid="33" name="JDOC_FIELD09">
    <vt:lpwstr/>
  </property>
  <property fmtid="{D5CDD505-2E9C-101B-9397-08002B2CF9AE}" pid="34" name="JDOC_FIELD10">
    <vt:lpwstr/>
  </property>
</Properties>
</file>