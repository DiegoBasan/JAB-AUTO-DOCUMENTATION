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mc:AlternateContent xmlns:mc="http://schemas.openxmlformats.org/markup-compatibility/2006">
    <mc:Choice Requires="x15">
      <x15ac:absPath xmlns:x15ac="http://schemas.microsoft.com/office/spreadsheetml/2010/11/ac" url="https://jabil-my.sharepoint.com/personal/marco_reza_jabil_com/Documents/EHS/"/>
    </mc:Choice>
  </mc:AlternateContent>
  <xr:revisionPtr revIDLastSave="0" documentId="8_{D0F737A8-70BB-4819-BCE9-BE000122CD4D}" xr6:coauthVersionLast="47" xr6:coauthVersionMax="47" xr10:uidLastSave="{00000000-0000-0000-0000-000000000000}"/>
  <bookViews>
    <workbookView xWindow="-108" yWindow="-108" windowWidth="23256" windowHeight="12456" xr2:uid="{AC760A91-90D9-4FF9-BB4C-7477968095D4}"/>
  </bookViews>
  <sheets>
    <sheet name="Inventario" sheetId="1" r:id="rId1"/>
    <sheet name="Catalog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" i="1"/>
  <c r="T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Reza</author>
    <author>tc={4D611B8F-8D44-43C3-B5C1-B2E0D2F09864}</author>
    <author>tc={1F4A2697-552C-44EC-882C-82D35D7CEB60}</author>
  </authors>
  <commentList>
    <comment ref="K1" authorId="0" shapeId="0" xr:uid="{4186C3C3-C522-4472-9387-E7A5CC7C52F6}">
      <text>
        <r>
          <rPr>
            <sz val="11"/>
            <color theme="1"/>
            <rFont val="Aptos Narrow"/>
            <family val="2"/>
            <scheme val="minor"/>
          </rPr>
          <t xml:space="preserve">Indicar en que etapa se encuentra:
Diseño
Instalacion
Operacion
Modificacion
Retiro
</t>
        </r>
      </text>
    </comment>
    <comment ref="L1" authorId="0" shapeId="0" xr:uid="{41CDCC14-DEBF-41A6-AC7B-B50E05CD18E1}">
      <text>
        <r>
          <rPr>
            <b/>
            <sz val="9"/>
            <color indexed="81"/>
            <rFont val="Tahoma"/>
            <family val="2"/>
          </rPr>
          <t xml:space="preserve">Numero de documento en J Doc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D726516C-EAC2-488E-A1A8-F8FA625EE04E}">
      <text>
        <r>
          <rPr>
            <b/>
            <sz val="9"/>
            <color indexed="81"/>
            <rFont val="Tahoma"/>
            <family val="2"/>
          </rPr>
          <t xml:space="preserve">Numero de documento en J Doc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" authorId="0" shapeId="0" xr:uid="{84BDCF47-1772-427C-8014-42390D468619}">
      <text>
        <r>
          <rPr>
            <b/>
            <sz val="9"/>
            <color indexed="81"/>
            <rFont val="Tahoma"/>
            <family val="2"/>
          </rPr>
          <t xml:space="preserve">Numero de documento en J Doc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" authorId="0" shapeId="0" xr:uid="{B5A351AB-F093-4887-AD21-50BDE60CD7E9}">
      <text>
        <r>
          <rPr>
            <sz val="11"/>
            <color theme="1"/>
            <rFont val="Aptos Narrow"/>
            <family val="2"/>
            <scheme val="minor"/>
          </rPr>
          <t xml:space="preserve">numero de documento y archivo en pdf
Vigente
Vencido 
N/A
</t>
        </r>
      </text>
    </comment>
    <comment ref="P1" authorId="0" shapeId="0" xr:uid="{A27A27B4-991F-4663-883A-1513ECCCD7C5}">
      <text>
        <r>
          <rPr>
            <sz val="11"/>
            <color theme="1"/>
            <rFont val="Aptos Narrow"/>
            <family val="2"/>
            <scheme val="minor"/>
          </rPr>
          <t xml:space="preserve">numero de documento y archivo en pdf
</t>
        </r>
      </text>
    </comment>
    <comment ref="Q1" authorId="0" shapeId="0" xr:uid="{FEFF3520-0226-4537-BB45-3EBD4F5F4A3C}">
      <text>
        <r>
          <rPr>
            <b/>
            <sz val="9"/>
            <color indexed="81"/>
            <rFont val="Tahoma"/>
            <family val="2"/>
          </rPr>
          <t>numero de documento y archivo en pdf</t>
        </r>
      </text>
    </comment>
    <comment ref="R1" authorId="0" shapeId="0" xr:uid="{F19CDBF9-272B-4E36-8A27-E50AC549EDC0}">
      <text>
        <r>
          <rPr>
            <b/>
            <sz val="9"/>
            <color indexed="81"/>
            <rFont val="Tahoma"/>
            <family val="2"/>
          </rPr>
          <t>numero de documento y archivo en pdf</t>
        </r>
      </text>
    </comment>
    <comment ref="Q23" authorId="1" shapeId="0" xr:uid="{4D611B8F-8D44-43C3-B5C1-B2E0D2F098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se cuenta con esa información</t>
      </text>
    </comment>
    <comment ref="Q24" authorId="2" shapeId="0" xr:uid="{1F4A2697-552C-44EC-882C-82D35D7CEB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se cuenta con esa información</t>
      </text>
    </comment>
  </commentList>
</comments>
</file>

<file path=xl/sharedStrings.xml><?xml version="1.0" encoding="utf-8"?>
<sst xmlns="http://schemas.openxmlformats.org/spreadsheetml/2006/main" count="461" uniqueCount="222">
  <si>
    <t>Building</t>
  </si>
  <si>
    <t>WorkCell</t>
  </si>
  <si>
    <t>Area</t>
  </si>
  <si>
    <t>Line</t>
  </si>
  <si>
    <t>StandardApplication</t>
  </si>
  <si>
    <t>Vendor</t>
  </si>
  <si>
    <t>Description</t>
  </si>
  <si>
    <t>SerialNumber</t>
  </si>
  <si>
    <t>MaintenanceName</t>
  </si>
  <si>
    <t>Software</t>
  </si>
  <si>
    <t>Life Cycle Stage</t>
  </si>
  <si>
    <t>Machine Safety Statement</t>
  </si>
  <si>
    <t>PlacardLOTO</t>
  </si>
  <si>
    <t>FiveLoToSteps</t>
  </si>
  <si>
    <t>MachineRiskAssesment</t>
  </si>
  <si>
    <t>RiskAssesment</t>
  </si>
  <si>
    <t>MocNumber</t>
  </si>
  <si>
    <t>URS-SOW</t>
  </si>
  <si>
    <t>Owner</t>
  </si>
  <si>
    <t>Avance</t>
  </si>
  <si>
    <t>Building 2</t>
  </si>
  <si>
    <t>John Deere</t>
  </si>
  <si>
    <t>Clean Room ISO 7</t>
  </si>
  <si>
    <t>Manual Screwdriving Station</t>
  </si>
  <si>
    <t>DISA</t>
  </si>
  <si>
    <t>Front Assy Scorpion</t>
  </si>
  <si>
    <t>JA100924-03</t>
  </si>
  <si>
    <t>JDS-FA-JA03</t>
  </si>
  <si>
    <t>ACURA</t>
  </si>
  <si>
    <t>Operacion</t>
  </si>
  <si>
    <t>16-HS00-8018-00553</t>
  </si>
  <si>
    <t>16-HS00-8018-00554</t>
  </si>
  <si>
    <t>16-HS00-8018-00529</t>
  </si>
  <si>
    <t>16-HS80-8000-00020</t>
  </si>
  <si>
    <t xml:space="preserve">16-HS80-8000-00031 </t>
  </si>
  <si>
    <t>YES</t>
  </si>
  <si>
    <t>Javier Villagran</t>
  </si>
  <si>
    <t>Final Assy Scorpion</t>
  </si>
  <si>
    <t>JA100924-06</t>
  </si>
  <si>
    <t>JDS-FIA-JA06</t>
  </si>
  <si>
    <t>16-HS00-8018-00555</t>
  </si>
  <si>
    <t>16-HS00-8018-00556</t>
  </si>
  <si>
    <t>16-HS00-8018-00530</t>
  </si>
  <si>
    <t>ITO</t>
  </si>
  <si>
    <t>Lens Adapter Moose/Scorpion</t>
  </si>
  <si>
    <t>MS-550-03</t>
  </si>
  <si>
    <t>JDLA-ST01-03</t>
  </si>
  <si>
    <t>16-HS00-8018-00501</t>
  </si>
  <si>
    <t>16-HS00-8018-00506</t>
  </si>
  <si>
    <t>16-HS00-8018-00531</t>
  </si>
  <si>
    <t>Back Assy Moose/Scorpion</t>
  </si>
  <si>
    <t>MS-550-05</t>
  </si>
  <si>
    <t>JDBAS-ST03-05</t>
  </si>
  <si>
    <t>16-HS00-8018-00508</t>
  </si>
  <si>
    <t>16-HS00-8018-00503</t>
  </si>
  <si>
    <t>16-HS00-8018-00532</t>
  </si>
  <si>
    <t>Front Assy Moose</t>
  </si>
  <si>
    <t>MS-550-04</t>
  </si>
  <si>
    <t>JDFAS-ST02-04</t>
  </si>
  <si>
    <t>16-HS00-8018-00507</t>
  </si>
  <si>
    <t>16-HS00-8018-00502</t>
  </si>
  <si>
    <t>16-HS00-8018-00533</t>
  </si>
  <si>
    <t>Final Assy Moose</t>
  </si>
  <si>
    <t>MS-550-06</t>
  </si>
  <si>
    <t>JDFAS-ST04-06</t>
  </si>
  <si>
    <t>16-HS00-8018-00509</t>
  </si>
  <si>
    <t>16-HS00-8018-00504</t>
  </si>
  <si>
    <t>16-HS00-8018-00534</t>
  </si>
  <si>
    <t>Brackets Assy Moose</t>
  </si>
  <si>
    <t>MS-550-07</t>
  </si>
  <si>
    <t>JDBAS-ST05-07</t>
  </si>
  <si>
    <t>16-HS00-8018-00510</t>
  </si>
  <si>
    <t>16-HS00-8018-00505</t>
  </si>
  <si>
    <t>16-HS00-8018-00535</t>
  </si>
  <si>
    <t>Semi-Automatic Screwdriving Station</t>
  </si>
  <si>
    <t>Lens Adapter Gecko</t>
  </si>
  <si>
    <t>VSS1H-6050-001</t>
  </si>
  <si>
    <t>JDE-LA01-001</t>
  </si>
  <si>
    <t>16-HS00-8018-00479</t>
  </si>
  <si>
    <t>16-HS00-8018-00471</t>
  </si>
  <si>
    <t>16-HS00-8018-00536</t>
  </si>
  <si>
    <t>Ampseal Attach Gecko</t>
  </si>
  <si>
    <t>VSS1H-6050-002</t>
  </si>
  <si>
    <t>JD-ASA02-002</t>
  </si>
  <si>
    <t>16-HS00-8018-00480</t>
  </si>
  <si>
    <t>16-HS00-8018-00472</t>
  </si>
  <si>
    <t>16-HS00-8018-00537</t>
  </si>
  <si>
    <t>Bottom Attach Gecko</t>
  </si>
  <si>
    <t>VSS1H-6050-003</t>
  </si>
  <si>
    <t>JDE-BA03-003</t>
  </si>
  <si>
    <t>16-HS00-8018-00481</t>
  </si>
  <si>
    <t>16-HS00-8018-00473</t>
  </si>
  <si>
    <t>16-HS00-8018-00538</t>
  </si>
  <si>
    <t>Leds Attach Gecko</t>
  </si>
  <si>
    <t>VSS1H-6050-004</t>
  </si>
  <si>
    <t>JDE-LA04-004</t>
  </si>
  <si>
    <t>16-HS00-8018-00482</t>
  </si>
  <si>
    <t>16-HS00-8018-00474</t>
  </si>
  <si>
    <t>16-HS00-8018-00539</t>
  </si>
  <si>
    <t>Moisture Absorber Attach Gecko</t>
  </si>
  <si>
    <t>VSS1H-6050-005</t>
  </si>
  <si>
    <t>JDE-MA05-005</t>
  </si>
  <si>
    <t>16-HS00-8018-00483</t>
  </si>
  <si>
    <t>16-HS00-8018-00475</t>
  </si>
  <si>
    <t>16-HS00-8018-00540</t>
  </si>
  <si>
    <t>Final Assy Gecko</t>
  </si>
  <si>
    <t>VSS1H-6050-006</t>
  </si>
  <si>
    <t>JDE-FA06-006</t>
  </si>
  <si>
    <t>16-HS00-8018-00484</t>
  </si>
  <si>
    <t>16-HS00-8018-00476</t>
  </si>
  <si>
    <t>16-HS00-8018-00541</t>
  </si>
  <si>
    <t>Cartridge Attach Gecko</t>
  </si>
  <si>
    <t>MS-550-001</t>
  </si>
  <si>
    <t>JDDC07-C001</t>
  </si>
  <si>
    <t>16-HS00-8018-00485</t>
  </si>
  <si>
    <t>16-HS00-8018-00477</t>
  </si>
  <si>
    <t>16-HS00-8018-00542</t>
  </si>
  <si>
    <t>Gasket Attach Gecko</t>
  </si>
  <si>
    <t>MS-550-002</t>
  </si>
  <si>
    <t>JDTG08-C002</t>
  </si>
  <si>
    <t>16-HS00-8018-00486</t>
  </si>
  <si>
    <t>16-HS00-8018-00478</t>
  </si>
  <si>
    <t>16-HS00-8018-00543</t>
  </si>
  <si>
    <t>DISA/ARMI</t>
  </si>
  <si>
    <t>Lens Adapter ELK</t>
  </si>
  <si>
    <t>JEN-LADAPTER-001</t>
  </si>
  <si>
    <t>JFN-400AB-001</t>
  </si>
  <si>
    <t>C#</t>
  </si>
  <si>
    <t>16-HS00-8018-00544</t>
  </si>
  <si>
    <t>Front Assy ELK</t>
  </si>
  <si>
    <t>JFW-FCOVER-001-M</t>
  </si>
  <si>
    <t>JFN-00346-45</t>
  </si>
  <si>
    <t>16-HS00-8018-00545</t>
  </si>
  <si>
    <t>Machinza</t>
  </si>
  <si>
    <t>Final Assy ELK</t>
  </si>
  <si>
    <t>JFN-FASSEMBLY-001-M</t>
  </si>
  <si>
    <t>JFN-00353-01</t>
  </si>
  <si>
    <t>16-HS00-8018-00546</t>
  </si>
  <si>
    <t>Back End</t>
  </si>
  <si>
    <t>Armi</t>
  </si>
  <si>
    <t>Housing Attach Infurrow / ST4</t>
  </si>
  <si>
    <t>JFN-HOU-INF-00397</t>
  </si>
  <si>
    <t>JFN-00397</t>
  </si>
  <si>
    <t>16-HS00-8018-00547</t>
  </si>
  <si>
    <t>Camera Attach Infurrow / ST6</t>
  </si>
  <si>
    <t>JDE-NEU-INF-324433</t>
  </si>
  <si>
    <t>JFI-03886-01</t>
  </si>
  <si>
    <t>16-HS00-8018-00548</t>
  </si>
  <si>
    <t>Brackets Assy Infurrow</t>
  </si>
  <si>
    <t>PMAC2025005MC01</t>
  </si>
  <si>
    <t>JDV-SWD-5MC01</t>
  </si>
  <si>
    <t>Instalacion</t>
  </si>
  <si>
    <t>16-HS00-8018-00524</t>
  </si>
  <si>
    <t>16-HS00-8018-00523</t>
  </si>
  <si>
    <t>16-HS00-8018-00549</t>
  </si>
  <si>
    <t>Active Alignment</t>
  </si>
  <si>
    <t>Kasalis</t>
  </si>
  <si>
    <t>Dispensing and alignment</t>
  </si>
  <si>
    <t>P50258</t>
  </si>
  <si>
    <t>JDS-KS-0258</t>
  </si>
  <si>
    <t>B&amp;R</t>
  </si>
  <si>
    <t>16-HS00-8018-00550</t>
  </si>
  <si>
    <t>P50199</t>
  </si>
  <si>
    <t>PIXID-199-01</t>
  </si>
  <si>
    <t>16-HS00-8018-00551</t>
  </si>
  <si>
    <t>Dogbone Scorpion</t>
  </si>
  <si>
    <t>JA100924-07</t>
  </si>
  <si>
    <t>JDS-STA-JA07</t>
  </si>
  <si>
    <t>16-HS00-8018-00557</t>
  </si>
  <si>
    <t>16-HS00-8018-00558</t>
  </si>
  <si>
    <t>16-HS00-8018-00552</t>
  </si>
  <si>
    <t> </t>
  </si>
  <si>
    <t>CT_StandardApplication</t>
  </si>
  <si>
    <t>CT_Vendors</t>
  </si>
  <si>
    <t>Assembly</t>
  </si>
  <si>
    <t>ABS AMERICAN BIOTECH SUPPLY</t>
  </si>
  <si>
    <t>Auto Scan</t>
  </si>
  <si>
    <t>ARBURG</t>
  </si>
  <si>
    <t>Buffer</t>
  </si>
  <si>
    <t>Conveyor</t>
  </si>
  <si>
    <t>ECA</t>
  </si>
  <si>
    <t>Crimpling</t>
  </si>
  <si>
    <t>ECLIPSE AUTOMATION</t>
  </si>
  <si>
    <t>Dispensing</t>
  </si>
  <si>
    <t>GKG</t>
  </si>
  <si>
    <t>Feeder (Bowl)</t>
  </si>
  <si>
    <t>JABIL</t>
  </si>
  <si>
    <t>Feeder (TRAY)</t>
  </si>
  <si>
    <t>JGP</t>
  </si>
  <si>
    <t>Feeder (TUBE)</t>
  </si>
  <si>
    <t>JIRP</t>
  </si>
  <si>
    <t>Labeling</t>
  </si>
  <si>
    <t>KASALIS INC</t>
  </si>
  <si>
    <t>Laser Marking</t>
  </si>
  <si>
    <t>MEMMERT</t>
  </si>
  <si>
    <t>Lifter (Elevator)</t>
  </si>
  <si>
    <t>NEW POWER</t>
  </si>
  <si>
    <t>Loader (PALLET)</t>
  </si>
  <si>
    <t>RAC</t>
  </si>
  <si>
    <t>Loader (PCBA)</t>
  </si>
  <si>
    <t>YJ LINK</t>
  </si>
  <si>
    <t>Packing</t>
  </si>
  <si>
    <t>OMRON</t>
  </si>
  <si>
    <t>Pick &amp; Place</t>
  </si>
  <si>
    <t>Poka-Yoke</t>
  </si>
  <si>
    <t>AXXON</t>
  </si>
  <si>
    <t>Robotic Cell</t>
  </si>
  <si>
    <t>KEYENCE</t>
  </si>
  <si>
    <t>Router</t>
  </si>
  <si>
    <t>ERCAM</t>
  </si>
  <si>
    <t>Screw Fastening</t>
  </si>
  <si>
    <t>ENICEM</t>
  </si>
  <si>
    <t>Soldering</t>
  </si>
  <si>
    <t>Tapping</t>
  </si>
  <si>
    <t>Testing (EOL)</t>
  </si>
  <si>
    <t>Testing (GENERAL)</t>
  </si>
  <si>
    <t>Testing (LEAK)</t>
  </si>
  <si>
    <t>Unloader</t>
  </si>
  <si>
    <t>Vision System (AOI)</t>
  </si>
  <si>
    <t>Vision System (AVI)</t>
  </si>
  <si>
    <t>Vision System (FNI)</t>
  </si>
  <si>
    <t>Work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</si>
</sst>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242424"/>
      <name val="Aptos Narrow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2" xfId="0" applyFont="1" applyFill="1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ego Banuelos" id="{705FE1F5-BF56-492A-B74A-E71D7C9C2831}" userId="S::diego_banuelos@jabil.com::e6435040-be39-4745-b5df-dc750a3260e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3" dT="2026-07-13T19:54:02.20" personId="{705FE1F5-BF56-492A-B74A-E71D7C9C2831}" id="{4D611B8F-8D44-43C3-B5C1-B2E0D2F09864}">
    <text>No se cuenta con esa información</text>
  </threadedComment>
  <threadedComment ref="Q24" dT="2026-07-13T19:54:02.20" personId="{705FE1F5-BF56-492A-B74A-E71D7C9C2831}" id="{1F4A2697-552C-44EC-882C-82D35D7CEB60}">
    <text>No se cuenta con esa información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14EF-B67C-49A8-A644-EBC46A04C8F4}">
  <dimension ref="A1:T26"/>
  <sheetViews>
    <sheetView tabSelected="1" topLeftCell="G1" workbookViewId="0">
      <selection activeCell="O3" sqref="O2:O25"/>
    </sheetView>
  </sheetViews>
  <sheetFormatPr defaultColWidth="21.7109375" defaultRowHeight="15" customHeight="1"/>
  <cols>
    <col min="1" max="1" width="10.5703125" customWidth="1"/>
    <col min="2" max="2" width="11.5703125" customWidth="1"/>
    <col min="3" max="3" width="30.42578125" customWidth="1"/>
    <col min="4" max="4" width="7.85546875" customWidth="1"/>
    <col min="5" max="5" width="37.5703125" customWidth="1"/>
    <col min="6" max="6" width="17.42578125" customWidth="1"/>
    <col min="7" max="7" width="28.85546875" customWidth="1"/>
    <col min="8" max="8" width="23.85546875" customWidth="1"/>
    <col min="9" max="9" width="20.42578125" customWidth="1"/>
    <col min="10" max="10" width="10.7109375" customWidth="1"/>
    <col min="11" max="11" width="16" customWidth="1"/>
    <col min="12" max="12" width="26.28515625" customWidth="1"/>
    <col min="13" max="13" width="24" customWidth="1"/>
    <col min="14" max="14" width="22.140625" customWidth="1"/>
    <col min="15" max="15" width="23.42578125" customWidth="1"/>
    <col min="16" max="16" width="21.85546875" customWidth="1"/>
    <col min="17" max="17" width="12.140625" customWidth="1"/>
    <col min="18" max="18" width="10.5703125" customWidth="1"/>
    <col min="19" max="19" width="13.85546875" bestFit="1" customWidth="1"/>
    <col min="20" max="20" width="21.7109375" style="22"/>
  </cols>
  <sheetData>
    <row r="1" spans="1:20" ht="24" customHeight="1">
      <c r="A1" s="8" t="s">
        <v>0</v>
      </c>
      <c r="B1" s="8" t="s">
        <v>1</v>
      </c>
      <c r="C1" s="8" t="s">
        <v>2</v>
      </c>
      <c r="D1" s="8" t="s">
        <v>3</v>
      </c>
      <c r="E1" s="14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4" t="s">
        <v>11</v>
      </c>
      <c r="M1" s="1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4" t="s">
        <v>19</v>
      </c>
    </row>
    <row r="2" spans="1:20">
      <c r="A2" s="10" t="s">
        <v>20</v>
      </c>
      <c r="B2" s="10" t="s">
        <v>21</v>
      </c>
      <c r="C2" s="10" t="s">
        <v>22</v>
      </c>
      <c r="D2" s="12">
        <v>202</v>
      </c>
      <c r="E2" s="11" t="s">
        <v>23</v>
      </c>
      <c r="F2" s="13" t="s">
        <v>24</v>
      </c>
      <c r="G2" s="10" t="s">
        <v>25</v>
      </c>
      <c r="H2" s="10" t="s">
        <v>26</v>
      </c>
      <c r="I2" s="16" t="s">
        <v>27</v>
      </c>
      <c r="J2" s="10" t="s">
        <v>28</v>
      </c>
      <c r="K2" s="12" t="s">
        <v>29</v>
      </c>
      <c r="L2" s="11" t="s">
        <v>30</v>
      </c>
      <c r="M2" s="11" t="s">
        <v>31</v>
      </c>
      <c r="N2" s="30" t="s">
        <v>32</v>
      </c>
      <c r="O2" s="10" t="s">
        <v>33</v>
      </c>
      <c r="P2" s="10" t="s">
        <v>34</v>
      </c>
      <c r="Q2" s="16">
        <v>4163</v>
      </c>
      <c r="R2" s="16" t="s">
        <v>35</v>
      </c>
      <c r="S2" s="24" t="s">
        <v>36</v>
      </c>
      <c r="T2" s="23">
        <f>COUNTA(A2:S2)/19</f>
        <v>1</v>
      </c>
    </row>
    <row r="3" spans="1:20">
      <c r="A3" s="10" t="s">
        <v>20</v>
      </c>
      <c r="B3" s="10" t="s">
        <v>21</v>
      </c>
      <c r="C3" s="10" t="s">
        <v>22</v>
      </c>
      <c r="D3" s="12">
        <v>202</v>
      </c>
      <c r="E3" s="11" t="s">
        <v>23</v>
      </c>
      <c r="F3" s="13" t="s">
        <v>24</v>
      </c>
      <c r="G3" s="10" t="s">
        <v>37</v>
      </c>
      <c r="H3" s="10" t="s">
        <v>38</v>
      </c>
      <c r="I3" s="17" t="s">
        <v>39</v>
      </c>
      <c r="J3" s="10" t="s">
        <v>28</v>
      </c>
      <c r="K3" s="12" t="s">
        <v>29</v>
      </c>
      <c r="L3" s="11" t="s">
        <v>40</v>
      </c>
      <c r="M3" s="11" t="s">
        <v>41</v>
      </c>
      <c r="N3" s="29" t="s">
        <v>42</v>
      </c>
      <c r="O3" s="10" t="s">
        <v>33</v>
      </c>
      <c r="P3" s="10" t="s">
        <v>34</v>
      </c>
      <c r="Q3" s="16">
        <v>4163</v>
      </c>
      <c r="R3" s="16" t="s">
        <v>35</v>
      </c>
      <c r="S3" s="24" t="s">
        <v>36</v>
      </c>
      <c r="T3" s="23">
        <f t="shared" ref="T3:T25" si="0">COUNTA(A3:S3)/19</f>
        <v>1</v>
      </c>
    </row>
    <row r="4" spans="1:20">
      <c r="A4" s="10" t="s">
        <v>20</v>
      </c>
      <c r="B4" s="10" t="s">
        <v>21</v>
      </c>
      <c r="C4" s="10" t="s">
        <v>22</v>
      </c>
      <c r="D4" s="12">
        <v>202</v>
      </c>
      <c r="E4" s="11" t="s">
        <v>23</v>
      </c>
      <c r="F4" s="13" t="s">
        <v>43</v>
      </c>
      <c r="G4" s="10" t="s">
        <v>44</v>
      </c>
      <c r="H4" s="18" t="s">
        <v>45</v>
      </c>
      <c r="I4" s="19" t="s">
        <v>46</v>
      </c>
      <c r="J4" s="10" t="s">
        <v>28</v>
      </c>
      <c r="K4" s="12" t="s">
        <v>29</v>
      </c>
      <c r="L4" s="11" t="s">
        <v>47</v>
      </c>
      <c r="M4" s="11" t="s">
        <v>48</v>
      </c>
      <c r="N4" s="29" t="s">
        <v>49</v>
      </c>
      <c r="O4" s="10" t="s">
        <v>33</v>
      </c>
      <c r="P4" s="10" t="s">
        <v>34</v>
      </c>
      <c r="Q4" s="16">
        <v>4163</v>
      </c>
      <c r="R4" s="16" t="s">
        <v>35</v>
      </c>
      <c r="S4" s="24" t="s">
        <v>36</v>
      </c>
      <c r="T4" s="23">
        <f t="shared" si="0"/>
        <v>1</v>
      </c>
    </row>
    <row r="5" spans="1:20">
      <c r="A5" s="10" t="s">
        <v>20</v>
      </c>
      <c r="B5" s="10" t="s">
        <v>21</v>
      </c>
      <c r="C5" s="10" t="s">
        <v>22</v>
      </c>
      <c r="D5" s="12">
        <v>202</v>
      </c>
      <c r="E5" s="11" t="s">
        <v>23</v>
      </c>
      <c r="F5" s="13" t="s">
        <v>43</v>
      </c>
      <c r="G5" s="10" t="s">
        <v>50</v>
      </c>
      <c r="H5" s="20" t="s">
        <v>51</v>
      </c>
      <c r="I5" s="19" t="s">
        <v>52</v>
      </c>
      <c r="J5" s="10" t="s">
        <v>28</v>
      </c>
      <c r="K5" s="12" t="s">
        <v>29</v>
      </c>
      <c r="L5" s="11" t="s">
        <v>53</v>
      </c>
      <c r="M5" s="11" t="s">
        <v>54</v>
      </c>
      <c r="N5" s="29" t="s">
        <v>55</v>
      </c>
      <c r="O5" s="10" t="s">
        <v>33</v>
      </c>
      <c r="P5" s="10" t="s">
        <v>34</v>
      </c>
      <c r="Q5" s="16">
        <v>4163</v>
      </c>
      <c r="R5" s="16" t="s">
        <v>35</v>
      </c>
      <c r="S5" s="24" t="s">
        <v>36</v>
      </c>
      <c r="T5" s="23">
        <f t="shared" si="0"/>
        <v>1</v>
      </c>
    </row>
    <row r="6" spans="1:20">
      <c r="A6" s="10" t="s">
        <v>20</v>
      </c>
      <c r="B6" s="10" t="s">
        <v>21</v>
      </c>
      <c r="C6" s="10" t="s">
        <v>22</v>
      </c>
      <c r="D6" s="12">
        <v>202</v>
      </c>
      <c r="E6" s="11" t="s">
        <v>23</v>
      </c>
      <c r="F6" s="13" t="s">
        <v>43</v>
      </c>
      <c r="G6" s="10" t="s">
        <v>56</v>
      </c>
      <c r="H6" s="15" t="s">
        <v>57</v>
      </c>
      <c r="I6" s="15" t="s">
        <v>58</v>
      </c>
      <c r="J6" s="10" t="s">
        <v>28</v>
      </c>
      <c r="K6" s="10" t="s">
        <v>29</v>
      </c>
      <c r="L6" s="15" t="s">
        <v>59</v>
      </c>
      <c r="M6" s="15" t="s">
        <v>60</v>
      </c>
      <c r="N6" s="28" t="s">
        <v>61</v>
      </c>
      <c r="O6" s="10" t="s">
        <v>33</v>
      </c>
      <c r="P6" s="10" t="s">
        <v>34</v>
      </c>
      <c r="Q6" s="16">
        <v>4851</v>
      </c>
      <c r="R6" s="16" t="s">
        <v>35</v>
      </c>
      <c r="S6" s="24" t="s">
        <v>36</v>
      </c>
      <c r="T6" s="23">
        <f t="shared" si="0"/>
        <v>1</v>
      </c>
    </row>
    <row r="7" spans="1:20">
      <c r="A7" s="10" t="s">
        <v>20</v>
      </c>
      <c r="B7" s="10" t="s">
        <v>21</v>
      </c>
      <c r="C7" s="10" t="s">
        <v>22</v>
      </c>
      <c r="D7" s="12">
        <v>202</v>
      </c>
      <c r="E7" s="11" t="s">
        <v>23</v>
      </c>
      <c r="F7" s="13" t="s">
        <v>43</v>
      </c>
      <c r="G7" s="10" t="s">
        <v>62</v>
      </c>
      <c r="H7" s="10" t="s">
        <v>63</v>
      </c>
      <c r="I7" s="10" t="s">
        <v>64</v>
      </c>
      <c r="J7" s="10" t="s">
        <v>28</v>
      </c>
      <c r="K7" s="10" t="s">
        <v>29</v>
      </c>
      <c r="L7" s="10" t="s">
        <v>65</v>
      </c>
      <c r="M7" s="10" t="s">
        <v>66</v>
      </c>
      <c r="N7" s="28" t="s">
        <v>67</v>
      </c>
      <c r="O7" s="10" t="s">
        <v>33</v>
      </c>
      <c r="P7" s="10" t="s">
        <v>34</v>
      </c>
      <c r="Q7" s="16">
        <v>4851</v>
      </c>
      <c r="R7" s="16" t="s">
        <v>35</v>
      </c>
      <c r="S7" s="24" t="s">
        <v>36</v>
      </c>
      <c r="T7" s="23">
        <f t="shared" si="0"/>
        <v>1</v>
      </c>
    </row>
    <row r="8" spans="1:20">
      <c r="A8" s="10" t="s">
        <v>20</v>
      </c>
      <c r="B8" s="10" t="s">
        <v>21</v>
      </c>
      <c r="C8" s="10" t="s">
        <v>22</v>
      </c>
      <c r="D8" s="12">
        <v>202</v>
      </c>
      <c r="E8" s="11" t="s">
        <v>23</v>
      </c>
      <c r="F8" s="13" t="s">
        <v>43</v>
      </c>
      <c r="G8" s="10" t="s">
        <v>68</v>
      </c>
      <c r="H8" s="10" t="s">
        <v>69</v>
      </c>
      <c r="I8" s="10" t="s">
        <v>70</v>
      </c>
      <c r="J8" s="10" t="s">
        <v>28</v>
      </c>
      <c r="K8" s="10" t="s">
        <v>29</v>
      </c>
      <c r="L8" s="10" t="s">
        <v>71</v>
      </c>
      <c r="M8" s="10" t="s">
        <v>72</v>
      </c>
      <c r="N8" s="28" t="s">
        <v>73</v>
      </c>
      <c r="O8" s="10" t="s">
        <v>33</v>
      </c>
      <c r="P8" s="10" t="s">
        <v>34</v>
      </c>
      <c r="Q8" s="16">
        <v>4851</v>
      </c>
      <c r="R8" s="16" t="s">
        <v>35</v>
      </c>
      <c r="S8" s="24" t="s">
        <v>36</v>
      </c>
      <c r="T8" s="23">
        <f t="shared" si="0"/>
        <v>1</v>
      </c>
    </row>
    <row r="9" spans="1:20">
      <c r="A9" s="10" t="s">
        <v>20</v>
      </c>
      <c r="B9" s="10" t="s">
        <v>21</v>
      </c>
      <c r="C9" s="10" t="s">
        <v>22</v>
      </c>
      <c r="D9" s="12">
        <v>202</v>
      </c>
      <c r="E9" s="11" t="s">
        <v>74</v>
      </c>
      <c r="F9" s="13" t="s">
        <v>43</v>
      </c>
      <c r="G9" s="10" t="s">
        <v>75</v>
      </c>
      <c r="H9" s="10" t="s">
        <v>76</v>
      </c>
      <c r="I9" s="10" t="s">
        <v>77</v>
      </c>
      <c r="J9" s="10" t="s">
        <v>28</v>
      </c>
      <c r="K9" s="10" t="s">
        <v>29</v>
      </c>
      <c r="L9" s="10" t="s">
        <v>78</v>
      </c>
      <c r="M9" s="10" t="s">
        <v>79</v>
      </c>
      <c r="N9" s="28" t="s">
        <v>80</v>
      </c>
      <c r="O9" s="10" t="s">
        <v>33</v>
      </c>
      <c r="P9" s="10" t="s">
        <v>34</v>
      </c>
      <c r="Q9" s="16">
        <v>4645</v>
      </c>
      <c r="R9" s="16" t="s">
        <v>35</v>
      </c>
      <c r="S9" s="24" t="s">
        <v>36</v>
      </c>
      <c r="T9" s="23">
        <f t="shared" si="0"/>
        <v>1</v>
      </c>
    </row>
    <row r="10" spans="1:20">
      <c r="A10" s="10" t="s">
        <v>20</v>
      </c>
      <c r="B10" s="10" t="s">
        <v>21</v>
      </c>
      <c r="C10" s="10" t="s">
        <v>22</v>
      </c>
      <c r="D10" s="12">
        <v>202</v>
      </c>
      <c r="E10" s="11" t="s">
        <v>74</v>
      </c>
      <c r="F10" s="13" t="s">
        <v>43</v>
      </c>
      <c r="G10" s="10" t="s">
        <v>81</v>
      </c>
      <c r="H10" s="10" t="s">
        <v>82</v>
      </c>
      <c r="I10" s="10" t="s">
        <v>83</v>
      </c>
      <c r="J10" s="10" t="s">
        <v>28</v>
      </c>
      <c r="K10" s="10" t="s">
        <v>29</v>
      </c>
      <c r="L10" s="10" t="s">
        <v>84</v>
      </c>
      <c r="M10" s="10" t="s">
        <v>85</v>
      </c>
      <c r="N10" s="28" t="s">
        <v>86</v>
      </c>
      <c r="O10" s="10" t="s">
        <v>33</v>
      </c>
      <c r="P10" s="10" t="s">
        <v>34</v>
      </c>
      <c r="Q10" s="16">
        <v>4645</v>
      </c>
      <c r="R10" s="16" t="s">
        <v>35</v>
      </c>
      <c r="S10" s="24" t="s">
        <v>36</v>
      </c>
      <c r="T10" s="23">
        <f t="shared" si="0"/>
        <v>1</v>
      </c>
    </row>
    <row r="11" spans="1:20">
      <c r="A11" s="10" t="s">
        <v>20</v>
      </c>
      <c r="B11" s="10" t="s">
        <v>21</v>
      </c>
      <c r="C11" s="10" t="s">
        <v>22</v>
      </c>
      <c r="D11" s="12">
        <v>202</v>
      </c>
      <c r="E11" s="11" t="s">
        <v>74</v>
      </c>
      <c r="F11" s="13" t="s">
        <v>43</v>
      </c>
      <c r="G11" s="10" t="s">
        <v>87</v>
      </c>
      <c r="H11" s="10" t="s">
        <v>88</v>
      </c>
      <c r="I11" s="10" t="s">
        <v>89</v>
      </c>
      <c r="J11" s="10" t="s">
        <v>28</v>
      </c>
      <c r="K11" s="10" t="s">
        <v>29</v>
      </c>
      <c r="L11" s="10" t="s">
        <v>90</v>
      </c>
      <c r="M11" s="10" t="s">
        <v>91</v>
      </c>
      <c r="N11" s="28" t="s">
        <v>92</v>
      </c>
      <c r="O11" s="10" t="s">
        <v>33</v>
      </c>
      <c r="P11" s="10" t="s">
        <v>34</v>
      </c>
      <c r="Q11" s="16">
        <v>4645</v>
      </c>
      <c r="R11" s="16" t="s">
        <v>35</v>
      </c>
      <c r="S11" s="24" t="s">
        <v>36</v>
      </c>
      <c r="T11" s="23">
        <f t="shared" si="0"/>
        <v>1</v>
      </c>
    </row>
    <row r="12" spans="1:20">
      <c r="A12" s="10" t="s">
        <v>20</v>
      </c>
      <c r="B12" s="10" t="s">
        <v>21</v>
      </c>
      <c r="C12" s="10" t="s">
        <v>22</v>
      </c>
      <c r="D12" s="12">
        <v>202</v>
      </c>
      <c r="E12" s="11" t="s">
        <v>74</v>
      </c>
      <c r="F12" s="13" t="s">
        <v>43</v>
      </c>
      <c r="G12" s="10" t="s">
        <v>93</v>
      </c>
      <c r="H12" s="10" t="s">
        <v>94</v>
      </c>
      <c r="I12" s="10" t="s">
        <v>95</v>
      </c>
      <c r="J12" s="10" t="s">
        <v>28</v>
      </c>
      <c r="K12" s="10" t="s">
        <v>29</v>
      </c>
      <c r="L12" s="10" t="s">
        <v>96</v>
      </c>
      <c r="M12" s="10" t="s">
        <v>97</v>
      </c>
      <c r="N12" s="28" t="s">
        <v>98</v>
      </c>
      <c r="O12" s="10" t="s">
        <v>33</v>
      </c>
      <c r="P12" s="10" t="s">
        <v>34</v>
      </c>
      <c r="Q12" s="16">
        <v>4645</v>
      </c>
      <c r="R12" s="16" t="s">
        <v>35</v>
      </c>
      <c r="S12" s="24" t="s">
        <v>36</v>
      </c>
      <c r="T12" s="23">
        <f t="shared" si="0"/>
        <v>1</v>
      </c>
    </row>
    <row r="13" spans="1:20">
      <c r="A13" s="10" t="s">
        <v>20</v>
      </c>
      <c r="B13" s="10" t="s">
        <v>21</v>
      </c>
      <c r="C13" s="10" t="s">
        <v>22</v>
      </c>
      <c r="D13" s="12">
        <v>202</v>
      </c>
      <c r="E13" s="11" t="s">
        <v>74</v>
      </c>
      <c r="F13" s="13" t="s">
        <v>43</v>
      </c>
      <c r="G13" s="10" t="s">
        <v>99</v>
      </c>
      <c r="H13" s="10" t="s">
        <v>100</v>
      </c>
      <c r="I13" s="10" t="s">
        <v>101</v>
      </c>
      <c r="J13" s="10" t="s">
        <v>28</v>
      </c>
      <c r="K13" s="10" t="s">
        <v>29</v>
      </c>
      <c r="L13" s="10" t="s">
        <v>102</v>
      </c>
      <c r="M13" s="10" t="s">
        <v>103</v>
      </c>
      <c r="N13" s="28" t="s">
        <v>104</v>
      </c>
      <c r="O13" s="10" t="s">
        <v>33</v>
      </c>
      <c r="P13" s="10" t="s">
        <v>34</v>
      </c>
      <c r="Q13" s="16">
        <v>4645</v>
      </c>
      <c r="R13" s="16" t="s">
        <v>35</v>
      </c>
      <c r="S13" s="24" t="s">
        <v>36</v>
      </c>
      <c r="T13" s="23">
        <f t="shared" si="0"/>
        <v>1</v>
      </c>
    </row>
    <row r="14" spans="1:20">
      <c r="A14" s="10" t="s">
        <v>20</v>
      </c>
      <c r="B14" s="10" t="s">
        <v>21</v>
      </c>
      <c r="C14" s="10" t="s">
        <v>22</v>
      </c>
      <c r="D14" s="12">
        <v>202</v>
      </c>
      <c r="E14" s="11" t="s">
        <v>74</v>
      </c>
      <c r="F14" s="13" t="s">
        <v>43</v>
      </c>
      <c r="G14" s="10" t="s">
        <v>105</v>
      </c>
      <c r="H14" s="10" t="s">
        <v>106</v>
      </c>
      <c r="I14" s="10" t="s">
        <v>107</v>
      </c>
      <c r="J14" s="10" t="s">
        <v>28</v>
      </c>
      <c r="K14" s="10" t="s">
        <v>29</v>
      </c>
      <c r="L14" s="10" t="s">
        <v>108</v>
      </c>
      <c r="M14" s="10" t="s">
        <v>109</v>
      </c>
      <c r="N14" s="28" t="s">
        <v>110</v>
      </c>
      <c r="O14" s="10" t="s">
        <v>33</v>
      </c>
      <c r="P14" s="10" t="s">
        <v>34</v>
      </c>
      <c r="Q14" s="16">
        <v>4645</v>
      </c>
      <c r="R14" s="16" t="s">
        <v>35</v>
      </c>
      <c r="S14" s="24" t="s">
        <v>36</v>
      </c>
      <c r="T14" s="23">
        <f t="shared" si="0"/>
        <v>1</v>
      </c>
    </row>
    <row r="15" spans="1:20">
      <c r="A15" s="10" t="s">
        <v>20</v>
      </c>
      <c r="B15" s="10" t="s">
        <v>21</v>
      </c>
      <c r="C15" s="10" t="s">
        <v>22</v>
      </c>
      <c r="D15" s="12">
        <v>202</v>
      </c>
      <c r="E15" s="11" t="s">
        <v>74</v>
      </c>
      <c r="F15" s="13" t="s">
        <v>43</v>
      </c>
      <c r="G15" s="10" t="s">
        <v>111</v>
      </c>
      <c r="H15" s="10" t="s">
        <v>112</v>
      </c>
      <c r="I15" s="10" t="s">
        <v>113</v>
      </c>
      <c r="J15" s="10" t="s">
        <v>28</v>
      </c>
      <c r="K15" s="10" t="s">
        <v>29</v>
      </c>
      <c r="L15" s="10" t="s">
        <v>114</v>
      </c>
      <c r="M15" s="10" t="s">
        <v>115</v>
      </c>
      <c r="N15" s="28" t="s">
        <v>116</v>
      </c>
      <c r="O15" s="10" t="s">
        <v>33</v>
      </c>
      <c r="P15" s="10" t="s">
        <v>34</v>
      </c>
      <c r="Q15" s="16">
        <v>4645</v>
      </c>
      <c r="R15" s="16" t="s">
        <v>35</v>
      </c>
      <c r="S15" s="24" t="s">
        <v>36</v>
      </c>
      <c r="T15" s="23">
        <f t="shared" si="0"/>
        <v>1</v>
      </c>
    </row>
    <row r="16" spans="1:20">
      <c r="A16" s="10" t="s">
        <v>20</v>
      </c>
      <c r="B16" s="10" t="s">
        <v>21</v>
      </c>
      <c r="C16" s="10" t="s">
        <v>22</v>
      </c>
      <c r="D16" s="12">
        <v>202</v>
      </c>
      <c r="E16" s="11" t="s">
        <v>74</v>
      </c>
      <c r="F16" s="13" t="s">
        <v>43</v>
      </c>
      <c r="G16" s="10" t="s">
        <v>117</v>
      </c>
      <c r="H16" s="10" t="s">
        <v>118</v>
      </c>
      <c r="I16" s="10" t="s">
        <v>119</v>
      </c>
      <c r="J16" s="10" t="s">
        <v>28</v>
      </c>
      <c r="K16" s="10" t="s">
        <v>29</v>
      </c>
      <c r="L16" s="10" t="s">
        <v>120</v>
      </c>
      <c r="M16" s="10" t="s">
        <v>121</v>
      </c>
      <c r="N16" s="28" t="s">
        <v>122</v>
      </c>
      <c r="O16" s="10" t="s">
        <v>33</v>
      </c>
      <c r="P16" s="10" t="s">
        <v>34</v>
      </c>
      <c r="Q16" s="16">
        <v>4645</v>
      </c>
      <c r="R16" s="16" t="s">
        <v>35</v>
      </c>
      <c r="S16" s="24" t="s">
        <v>36</v>
      </c>
      <c r="T16" s="23">
        <f t="shared" si="0"/>
        <v>1</v>
      </c>
    </row>
    <row r="17" spans="1:20">
      <c r="A17" s="10" t="s">
        <v>20</v>
      </c>
      <c r="B17" s="10" t="s">
        <v>21</v>
      </c>
      <c r="C17" s="10" t="s">
        <v>22</v>
      </c>
      <c r="D17" s="12">
        <v>212</v>
      </c>
      <c r="E17" s="11" t="s">
        <v>23</v>
      </c>
      <c r="F17" s="13" t="s">
        <v>123</v>
      </c>
      <c r="G17" s="10" t="s">
        <v>124</v>
      </c>
      <c r="H17" s="10" t="s">
        <v>125</v>
      </c>
      <c r="I17" s="10" t="s">
        <v>126</v>
      </c>
      <c r="J17" s="10" t="s">
        <v>127</v>
      </c>
      <c r="K17" s="10" t="s">
        <v>29</v>
      </c>
      <c r="L17" s="25"/>
      <c r="M17" s="25"/>
      <c r="N17" s="28" t="s">
        <v>128</v>
      </c>
      <c r="O17" s="10" t="s">
        <v>33</v>
      </c>
      <c r="P17" s="10" t="s">
        <v>34</v>
      </c>
      <c r="Q17" s="26"/>
      <c r="R17" s="26"/>
      <c r="S17" s="24" t="s">
        <v>36</v>
      </c>
      <c r="T17" s="23">
        <f t="shared" si="0"/>
        <v>0.78947368421052633</v>
      </c>
    </row>
    <row r="18" spans="1:20">
      <c r="A18" s="10" t="s">
        <v>20</v>
      </c>
      <c r="B18" s="10" t="s">
        <v>21</v>
      </c>
      <c r="C18" s="10" t="s">
        <v>22</v>
      </c>
      <c r="D18" s="12">
        <v>212</v>
      </c>
      <c r="E18" s="11" t="s">
        <v>23</v>
      </c>
      <c r="F18" s="13" t="s">
        <v>123</v>
      </c>
      <c r="G18" s="10" t="s">
        <v>129</v>
      </c>
      <c r="H18" s="10" t="s">
        <v>130</v>
      </c>
      <c r="I18" s="10" t="s">
        <v>131</v>
      </c>
      <c r="J18" s="10" t="s">
        <v>127</v>
      </c>
      <c r="K18" s="10" t="s">
        <v>29</v>
      </c>
      <c r="L18" s="25"/>
      <c r="M18" s="25"/>
      <c r="N18" s="28" t="s">
        <v>132</v>
      </c>
      <c r="O18" s="10" t="s">
        <v>33</v>
      </c>
      <c r="P18" s="10" t="s">
        <v>34</v>
      </c>
      <c r="Q18" s="26"/>
      <c r="R18" s="26"/>
      <c r="S18" s="24" t="s">
        <v>36</v>
      </c>
      <c r="T18" s="23">
        <f t="shared" si="0"/>
        <v>0.78947368421052633</v>
      </c>
    </row>
    <row r="19" spans="1:20">
      <c r="A19" s="10" t="s">
        <v>20</v>
      </c>
      <c r="B19" s="10" t="s">
        <v>21</v>
      </c>
      <c r="C19" s="10" t="s">
        <v>22</v>
      </c>
      <c r="D19" s="12">
        <v>212</v>
      </c>
      <c r="E19" s="11" t="s">
        <v>23</v>
      </c>
      <c r="F19" s="13" t="s">
        <v>133</v>
      </c>
      <c r="G19" s="10" t="s">
        <v>134</v>
      </c>
      <c r="H19" s="10" t="s">
        <v>135</v>
      </c>
      <c r="I19" s="10" t="s">
        <v>136</v>
      </c>
      <c r="J19" s="10" t="s">
        <v>28</v>
      </c>
      <c r="K19" s="10" t="s">
        <v>29</v>
      </c>
      <c r="L19" s="25"/>
      <c r="M19" s="25"/>
      <c r="N19" s="28" t="s">
        <v>137</v>
      </c>
      <c r="O19" s="10" t="s">
        <v>33</v>
      </c>
      <c r="P19" s="10" t="s">
        <v>34</v>
      </c>
      <c r="Q19" s="26"/>
      <c r="R19" s="26"/>
      <c r="S19" s="24" t="s">
        <v>36</v>
      </c>
      <c r="T19" s="23">
        <f t="shared" si="0"/>
        <v>0.78947368421052633</v>
      </c>
    </row>
    <row r="20" spans="1:20">
      <c r="A20" s="10" t="s">
        <v>20</v>
      </c>
      <c r="B20" s="10" t="s">
        <v>21</v>
      </c>
      <c r="C20" s="10" t="s">
        <v>138</v>
      </c>
      <c r="D20" s="12">
        <v>211</v>
      </c>
      <c r="E20" s="11" t="s">
        <v>23</v>
      </c>
      <c r="F20" s="13" t="s">
        <v>139</v>
      </c>
      <c r="G20" s="10" t="s">
        <v>140</v>
      </c>
      <c r="H20" s="10" t="s">
        <v>141</v>
      </c>
      <c r="I20" s="10" t="s">
        <v>142</v>
      </c>
      <c r="J20" s="10" t="s">
        <v>127</v>
      </c>
      <c r="K20" s="10" t="s">
        <v>29</v>
      </c>
      <c r="L20" s="27"/>
      <c r="M20" s="25"/>
      <c r="N20" s="28" t="s">
        <v>143</v>
      </c>
      <c r="O20" s="10" t="s">
        <v>33</v>
      </c>
      <c r="P20" s="10" t="s">
        <v>34</v>
      </c>
      <c r="Q20" s="26"/>
      <c r="R20" s="26"/>
      <c r="S20" s="24" t="s">
        <v>36</v>
      </c>
      <c r="T20" s="23">
        <f t="shared" si="0"/>
        <v>0.78947368421052633</v>
      </c>
    </row>
    <row r="21" spans="1:20">
      <c r="A21" s="10" t="s">
        <v>20</v>
      </c>
      <c r="B21" s="10" t="s">
        <v>21</v>
      </c>
      <c r="C21" s="10" t="s">
        <v>138</v>
      </c>
      <c r="D21" s="12">
        <v>211</v>
      </c>
      <c r="E21" s="11" t="s">
        <v>23</v>
      </c>
      <c r="F21" s="13" t="s">
        <v>139</v>
      </c>
      <c r="G21" s="10" t="s">
        <v>144</v>
      </c>
      <c r="H21" s="10" t="s">
        <v>145</v>
      </c>
      <c r="I21" s="10" t="s">
        <v>146</v>
      </c>
      <c r="J21" s="10" t="s">
        <v>127</v>
      </c>
      <c r="K21" s="10" t="s">
        <v>29</v>
      </c>
      <c r="L21" s="25"/>
      <c r="M21" s="25"/>
      <c r="N21" s="28" t="s">
        <v>147</v>
      </c>
      <c r="O21" s="10" t="s">
        <v>33</v>
      </c>
      <c r="P21" s="10" t="s">
        <v>34</v>
      </c>
      <c r="Q21" s="26"/>
      <c r="R21" s="26"/>
      <c r="S21" s="24" t="s">
        <v>36</v>
      </c>
      <c r="T21" s="23">
        <f t="shared" si="0"/>
        <v>0.78947368421052633</v>
      </c>
    </row>
    <row r="22" spans="1:20">
      <c r="A22" s="10" t="s">
        <v>20</v>
      </c>
      <c r="B22" s="10" t="s">
        <v>21</v>
      </c>
      <c r="C22" s="10" t="s">
        <v>138</v>
      </c>
      <c r="D22" s="12">
        <v>212</v>
      </c>
      <c r="E22" s="11" t="s">
        <v>23</v>
      </c>
      <c r="F22" s="13" t="s">
        <v>133</v>
      </c>
      <c r="G22" s="10" t="s">
        <v>148</v>
      </c>
      <c r="H22" s="10" t="s">
        <v>149</v>
      </c>
      <c r="I22" s="10" t="s">
        <v>150</v>
      </c>
      <c r="J22" s="10" t="s">
        <v>28</v>
      </c>
      <c r="K22" s="10" t="s">
        <v>151</v>
      </c>
      <c r="L22" s="10" t="s">
        <v>152</v>
      </c>
      <c r="M22" s="10" t="s">
        <v>153</v>
      </c>
      <c r="N22" s="28" t="s">
        <v>154</v>
      </c>
      <c r="O22" s="10" t="s">
        <v>33</v>
      </c>
      <c r="P22" s="10" t="s">
        <v>34</v>
      </c>
      <c r="Q22" s="16">
        <v>5023</v>
      </c>
      <c r="R22" s="16" t="s">
        <v>35</v>
      </c>
      <c r="S22" s="24" t="s">
        <v>36</v>
      </c>
      <c r="T22" s="23">
        <f t="shared" si="0"/>
        <v>1</v>
      </c>
    </row>
    <row r="23" spans="1:20">
      <c r="A23" s="10" t="s">
        <v>20</v>
      </c>
      <c r="B23" s="10" t="s">
        <v>21</v>
      </c>
      <c r="C23" s="10" t="s">
        <v>22</v>
      </c>
      <c r="D23" s="12">
        <v>202</v>
      </c>
      <c r="E23" s="11" t="s">
        <v>155</v>
      </c>
      <c r="F23" s="13" t="s">
        <v>156</v>
      </c>
      <c r="G23" s="10" t="s">
        <v>157</v>
      </c>
      <c r="H23" s="10" t="s">
        <v>158</v>
      </c>
      <c r="I23" s="10" t="s">
        <v>159</v>
      </c>
      <c r="J23" s="10" t="s">
        <v>160</v>
      </c>
      <c r="K23" s="10" t="s">
        <v>29</v>
      </c>
      <c r="L23" s="25"/>
      <c r="M23" s="25"/>
      <c r="N23" s="28" t="s">
        <v>161</v>
      </c>
      <c r="O23" s="10" t="s">
        <v>33</v>
      </c>
      <c r="P23" s="10" t="s">
        <v>34</v>
      </c>
      <c r="Q23" s="25"/>
      <c r="R23" s="26"/>
      <c r="S23" s="24" t="s">
        <v>36</v>
      </c>
      <c r="T23" s="23">
        <f t="shared" si="0"/>
        <v>0.78947368421052633</v>
      </c>
    </row>
    <row r="24" spans="1:20">
      <c r="A24" s="10" t="s">
        <v>20</v>
      </c>
      <c r="B24" s="10" t="s">
        <v>21</v>
      </c>
      <c r="C24" s="10" t="s">
        <v>22</v>
      </c>
      <c r="D24" s="12">
        <v>212</v>
      </c>
      <c r="E24" s="11" t="s">
        <v>155</v>
      </c>
      <c r="F24" s="13" t="s">
        <v>156</v>
      </c>
      <c r="G24" s="10" t="s">
        <v>157</v>
      </c>
      <c r="H24" s="10" t="s">
        <v>162</v>
      </c>
      <c r="I24" s="10" t="s">
        <v>163</v>
      </c>
      <c r="J24" s="10" t="s">
        <v>160</v>
      </c>
      <c r="K24" s="10" t="s">
        <v>29</v>
      </c>
      <c r="L24" s="31"/>
      <c r="M24" s="31"/>
      <c r="N24" s="28" t="s">
        <v>164</v>
      </c>
      <c r="O24" s="10" t="s">
        <v>33</v>
      </c>
      <c r="P24" s="10" t="s">
        <v>34</v>
      </c>
      <c r="Q24" s="25"/>
      <c r="R24" s="26"/>
      <c r="S24" s="24" t="s">
        <v>36</v>
      </c>
      <c r="T24" s="23">
        <f t="shared" si="0"/>
        <v>0.78947368421052633</v>
      </c>
    </row>
    <row r="25" spans="1:20">
      <c r="A25" s="10" t="s">
        <v>20</v>
      </c>
      <c r="B25" s="10" t="s">
        <v>21</v>
      </c>
      <c r="C25" s="10" t="s">
        <v>138</v>
      </c>
      <c r="D25" s="12">
        <v>211</v>
      </c>
      <c r="E25" s="11" t="s">
        <v>23</v>
      </c>
      <c r="F25" s="13" t="s">
        <v>24</v>
      </c>
      <c r="G25" s="10" t="s">
        <v>165</v>
      </c>
      <c r="H25" s="10" t="s">
        <v>166</v>
      </c>
      <c r="I25" s="10" t="s">
        <v>167</v>
      </c>
      <c r="J25" s="10" t="s">
        <v>28</v>
      </c>
      <c r="K25" s="12" t="s">
        <v>29</v>
      </c>
      <c r="L25" s="11" t="s">
        <v>168</v>
      </c>
      <c r="M25" s="11" t="s">
        <v>169</v>
      </c>
      <c r="N25" s="29" t="s">
        <v>170</v>
      </c>
      <c r="O25" s="10" t="s">
        <v>33</v>
      </c>
      <c r="P25" s="10" t="s">
        <v>34</v>
      </c>
      <c r="Q25" s="16">
        <v>4163</v>
      </c>
      <c r="R25" s="16" t="s">
        <v>35</v>
      </c>
      <c r="S25" s="24" t="s">
        <v>36</v>
      </c>
      <c r="T25" s="23">
        <f t="shared" si="0"/>
        <v>1</v>
      </c>
    </row>
    <row r="26" spans="1:20" ht="15" customHeight="1">
      <c r="T26" s="21">
        <f>IFERROR(AVERAGEIF(T2:T25,"&gt;0"),0)</f>
        <v>0.93859649122807032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5881-DF45-4B0D-9009-556C36ED907A}">
  <dimension ref="B4:D37"/>
  <sheetViews>
    <sheetView workbookViewId="0">
      <selection activeCell="J16" sqref="J16"/>
    </sheetView>
  </sheetViews>
  <sheetFormatPr defaultRowHeight="14.45"/>
  <cols>
    <col min="2" max="2" width="22.7109375" customWidth="1"/>
    <col min="4" max="4" width="15.28515625" customWidth="1"/>
  </cols>
  <sheetData>
    <row r="4" spans="2:4">
      <c r="B4" t="s">
        <v>171</v>
      </c>
    </row>
    <row r="5" spans="2:4" ht="15" thickBot="1"/>
    <row r="6" spans="2:4" ht="15" thickBot="1">
      <c r="B6" s="9" t="s">
        <v>172</v>
      </c>
      <c r="D6" s="7" t="s">
        <v>173</v>
      </c>
    </row>
    <row r="7" spans="2:4" ht="28.9">
      <c r="B7" s="1" t="s">
        <v>174</v>
      </c>
      <c r="D7" s="6" t="s">
        <v>175</v>
      </c>
    </row>
    <row r="8" spans="2:4">
      <c r="B8" s="2" t="s">
        <v>176</v>
      </c>
      <c r="D8" s="4" t="s">
        <v>177</v>
      </c>
    </row>
    <row r="9" spans="2:4">
      <c r="B9" s="2" t="s">
        <v>178</v>
      </c>
      <c r="D9" s="4" t="s">
        <v>24</v>
      </c>
    </row>
    <row r="10" spans="2:4">
      <c r="B10" s="2" t="s">
        <v>179</v>
      </c>
      <c r="D10" s="4" t="s">
        <v>180</v>
      </c>
    </row>
    <row r="11" spans="2:4" ht="28.9">
      <c r="B11" s="2" t="s">
        <v>181</v>
      </c>
      <c r="D11" s="4" t="s">
        <v>182</v>
      </c>
    </row>
    <row r="12" spans="2:4">
      <c r="B12" s="2" t="s">
        <v>183</v>
      </c>
      <c r="D12" s="4" t="s">
        <v>184</v>
      </c>
    </row>
    <row r="13" spans="2:4">
      <c r="B13" s="2" t="s">
        <v>185</v>
      </c>
      <c r="D13" s="4" t="s">
        <v>186</v>
      </c>
    </row>
    <row r="14" spans="2:4">
      <c r="B14" s="2" t="s">
        <v>187</v>
      </c>
      <c r="D14" s="4" t="s">
        <v>188</v>
      </c>
    </row>
    <row r="15" spans="2:4">
      <c r="B15" s="2" t="s">
        <v>189</v>
      </c>
      <c r="D15" s="4" t="s">
        <v>190</v>
      </c>
    </row>
    <row r="16" spans="2:4">
      <c r="B16" s="2" t="s">
        <v>191</v>
      </c>
      <c r="D16" s="4" t="s">
        <v>192</v>
      </c>
    </row>
    <row r="17" spans="2:4">
      <c r="B17" s="2" t="s">
        <v>193</v>
      </c>
      <c r="D17" s="4" t="s">
        <v>194</v>
      </c>
    </row>
    <row r="18" spans="2:4">
      <c r="B18" s="2" t="s">
        <v>195</v>
      </c>
      <c r="D18" s="4" t="s">
        <v>196</v>
      </c>
    </row>
    <row r="19" spans="2:4">
      <c r="B19" s="2" t="s">
        <v>197</v>
      </c>
      <c r="D19" s="4" t="s">
        <v>198</v>
      </c>
    </row>
    <row r="20" spans="2:4">
      <c r="B20" s="2" t="s">
        <v>199</v>
      </c>
      <c r="D20" s="4" t="s">
        <v>200</v>
      </c>
    </row>
    <row r="21" spans="2:4">
      <c r="B21" s="2" t="s">
        <v>201</v>
      </c>
      <c r="D21" s="4" t="s">
        <v>202</v>
      </c>
    </row>
    <row r="22" spans="2:4">
      <c r="B22" s="2" t="s">
        <v>203</v>
      </c>
      <c r="D22" s="4" t="s">
        <v>43</v>
      </c>
    </row>
    <row r="23" spans="2:4">
      <c r="B23" s="2" t="s">
        <v>204</v>
      </c>
      <c r="D23" s="4" t="s">
        <v>205</v>
      </c>
    </row>
    <row r="24" spans="2:4">
      <c r="B24" s="2" t="s">
        <v>206</v>
      </c>
      <c r="D24" s="4" t="s">
        <v>207</v>
      </c>
    </row>
    <row r="25" spans="2:4">
      <c r="B25" s="2" t="s">
        <v>208</v>
      </c>
      <c r="D25" s="4" t="s">
        <v>209</v>
      </c>
    </row>
    <row r="26" spans="2:4" ht="15" thickBot="1">
      <c r="B26" s="2" t="s">
        <v>210</v>
      </c>
      <c r="D26" s="5" t="s">
        <v>211</v>
      </c>
    </row>
    <row r="27" spans="2:4">
      <c r="B27" s="2" t="s">
        <v>212</v>
      </c>
    </row>
    <row r="28" spans="2:4">
      <c r="B28" s="2" t="s">
        <v>213</v>
      </c>
    </row>
    <row r="29" spans="2:4">
      <c r="B29" s="2" t="s">
        <v>214</v>
      </c>
    </row>
    <row r="30" spans="2:4">
      <c r="B30" s="2" t="s">
        <v>215</v>
      </c>
    </row>
    <row r="31" spans="2:4">
      <c r="B31" s="2" t="s">
        <v>216</v>
      </c>
    </row>
    <row r="32" spans="2:4">
      <c r="B32" s="2" t="s">
        <v>217</v>
      </c>
    </row>
    <row r="33" spans="2:2">
      <c r="B33" s="2" t="s">
        <v>218</v>
      </c>
    </row>
    <row r="34" spans="2:2">
      <c r="B34" s="2" t="s">
        <v>219</v>
      </c>
    </row>
    <row r="35" spans="2:2">
      <c r="B35" s="2" t="s">
        <v>220</v>
      </c>
    </row>
    <row r="36" spans="2:2" ht="15" thickBot="1">
      <c r="B36" s="3" t="s">
        <v>221</v>
      </c>
    </row>
    <row r="37" spans="2:2">
      <c r="B3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Jabil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Reza</dc:creator>
  <cp:keywords/>
  <dc:description/>
  <cp:lastModifiedBy/>
  <cp:revision/>
  <dcterms:created xsi:type="dcterms:W3CDTF">2026-06-05T20:01:10Z</dcterms:created>
  <dcterms:modified xsi:type="dcterms:W3CDTF">2026-09-22T21:24:11Z</dcterms:modified>
  <cp:category/>
  <cp:contentStatus/>
</cp:coreProperties>
</file>