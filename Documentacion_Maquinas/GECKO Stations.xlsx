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jabil-my.sharepoint.com/personal/luis_bustillos_jabil_com/Documents/JDES/GECKO/"/>
    </mc:Choice>
  </mc:AlternateContent>
  <xr:revisionPtr revIDLastSave="0" documentId="8_{8815E066-733F-41F6-9711-B394BDFCF2C0}" xr6:coauthVersionLast="47" xr6:coauthVersionMax="47" xr10:uidLastSave="{00000000-0000-0000-0000-000000000000}"/>
  <bookViews>
    <workbookView xWindow="-120" yWindow="-120" windowWidth="29040" windowHeight="15720" xr2:uid="{5B88E9D6-35CB-411B-A8C3-D531124B1C1F}"/>
  </bookViews>
  <sheets>
    <sheet name="GECKO STATIONS" sheetId="1" r:id="rId1"/>
    <sheet name="Calibracion" sheetId="12" r:id="rId2"/>
    <sheet name="Proceso" sheetId="8" r:id="rId3"/>
    <sheet name="Ayudas visuales" sheetId="9" r:id="rId4"/>
    <sheet name="Actividades Auto" sheetId="5" r:id="rId5"/>
    <sheet name="MES" sheetId="6" r:id="rId6"/>
    <sheet name="ELK Final" sheetId="3" r:id="rId7"/>
    <sheet name="8Ds Condensacion" sheetId="4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0" i="1" l="1"/>
  <c r="Q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tc={5B1955AA-6079-45A6-B0BE-BAC31EFA0941}</author>
    <author>tc={36945FE9-5323-476A-91BC-5CBA62810963}</author>
    <author>tc={3C2B2EC1-B3AC-4C8F-993A-2D46A2196613}</author>
    <author>tc={2C2C0E30-A82F-4767-BB43-76B5DFA0B053}</author>
    <author>tc={2C76C942-F753-4095-93E0-08BAAEBABE5C}</author>
    <author>tc={FB70F09E-6545-4AAF-8093-E08597833521}</author>
    <author>tc={31A19AE9-7BED-47BE-8221-0253310C3742}</author>
  </authors>
  <commentList>
    <comment ref="AS1" authorId="0" shapeId="0" xr:uid="{5B1955AA-6079-45A6-B0BE-BAC31EFA0941}">
      <text>
        <t>[Threaded comment]
Your version of Excel allows you to read this threaded comment; however, any edits to it will get removed if the file is opened in a newer version of Excel. Learn more: https://go.microsoft.com/fwlink/?linkid=870924
Comment:
    Pegar la ruta</t>
      </text>
    </comment>
    <comment ref="O2" authorId="1" shapeId="0" xr:uid="{36945FE9-5323-476A-91BC-5CBA62810963}">
      <text>
        <t>[Threaded comment]
Your version of Excel allows you to read this threaded comment; however, any edits to it will get removed if the file is opened in a newer version of Excel. Learn more: https://go.microsoft.com/fwlink/?linkid=870924
Comment:
    Necesitamos como se van a llamar cuando se Jaibilicen</t>
      </text>
    </comment>
    <comment ref="Y2" authorId="2" shapeId="0" xr:uid="{3C2B2EC1-B3AC-4C8F-993A-2D46A2196613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Se tiene un listado general @JAVIER VILLAGRAN Escalar con proveedor identificar spears criticas</t>
      </text>
    </comment>
    <comment ref="AA2" authorId="3" shapeId="0" xr:uid="{2C2C0E30-A82F-4767-BB43-76B5DFA0B053}">
      <text>
        <t>[Threaded comment]
Your version of Excel allows you to read this threaded comment; however, any edits to it will get removed if the file is opened in a newer version of Excel. Learn more: https://go.microsoft.com/fwlink/?linkid=870924
Comment:
    Las estaciones ST01, 02, 03, 05 y 07 cuentan con un diagrama general</t>
      </text>
    </comment>
    <comment ref="AG2" authorId="4" shapeId="0" xr:uid="{2C76C942-F753-4095-93E0-08BAAEBABE5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Ya tenemos las galgas, nos faltan pcb
</t>
      </text>
    </comment>
    <comment ref="AS2" authorId="5" shapeId="0" xr:uid="{FB70F09E-6545-4AAF-8093-E08597833521}">
      <text>
        <t>[Threaded comment]
Your version of Excel allows you to read this threaded comment; however, any edits to it will get removed if the file is opened in a newer version of Excel. Learn more: https://go.microsoft.com/fwlink/?linkid=870924
Comment:
    Copia del SSD</t>
      </text>
    </comment>
    <comment ref="BA2" authorId="6" shapeId="0" xr:uid="{31A19AE9-7BED-47BE-8221-0253310C374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Ya se solicitaron, pendiente la respuesta de ME
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9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</futureMetadata>
  <valueMetadata count="9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</valueMetadata>
</metadata>
</file>

<file path=xl/sharedStrings.xml><?xml version="1.0" encoding="utf-8"?>
<sst xmlns="http://schemas.openxmlformats.org/spreadsheetml/2006/main" count="700" uniqueCount="378">
  <si>
    <t>Mantenimiento</t>
  </si>
  <si>
    <t>Documentacion Externa</t>
  </si>
  <si>
    <t>Tickets</t>
  </si>
  <si>
    <t>Documentacion Interna</t>
  </si>
  <si>
    <t>Validacion</t>
  </si>
  <si>
    <t>IP</t>
  </si>
  <si>
    <t>Backup</t>
  </si>
  <si>
    <t>Contraseñas</t>
  </si>
  <si>
    <t>MES</t>
  </si>
  <si>
    <t>Station</t>
  </si>
  <si>
    <t>Name</t>
  </si>
  <si>
    <t>Ensamble</t>
  </si>
  <si>
    <t>No. De operación</t>
  </si>
  <si>
    <t>SN</t>
  </si>
  <si>
    <t>Vendor</t>
  </si>
  <si>
    <t>Marca</t>
  </si>
  <si>
    <t>Modelo</t>
  </si>
  <si>
    <t>Costo</t>
  </si>
  <si>
    <t>Asset</t>
  </si>
  <si>
    <t>Software version</t>
  </si>
  <si>
    <t>PO</t>
  </si>
  <si>
    <t>ID (el de manto)</t>
  </si>
  <si>
    <t>PC Name OLD</t>
  </si>
  <si>
    <t>PC Name Jabil</t>
  </si>
  <si>
    <t>Carpeta Compartida</t>
  </si>
  <si>
    <t>Semanal</t>
  </si>
  <si>
    <t>Quincenal</t>
  </si>
  <si>
    <t>Mensual</t>
  </si>
  <si>
    <t>Trimestral</t>
  </si>
  <si>
    <t>Semestral</t>
  </si>
  <si>
    <t>Anual</t>
  </si>
  <si>
    <t>Nivelacion del equipo</t>
  </si>
  <si>
    <t>Spear parts</t>
  </si>
  <si>
    <t>Manuales de operación</t>
  </si>
  <si>
    <t>Diagramas electricos</t>
  </si>
  <si>
    <t>16-LB80-3500-00001</t>
  </si>
  <si>
    <t>IT</t>
  </si>
  <si>
    <t>ESD</t>
  </si>
  <si>
    <t>EHS</t>
  </si>
  <si>
    <t>Calibracion</t>
  </si>
  <si>
    <t>String gage</t>
  </si>
  <si>
    <t>Ayuda Visual</t>
  </si>
  <si>
    <t>Hoja de parametros</t>
  </si>
  <si>
    <t>Instrucción de trabajo</t>
  </si>
  <si>
    <t>PLACARD</t>
  </si>
  <si>
    <t>Declaracion de seguridad</t>
  </si>
  <si>
    <t>Cpk</t>
  </si>
  <si>
    <t>GRR</t>
  </si>
  <si>
    <t>CMK</t>
  </si>
  <si>
    <t>Camara</t>
  </si>
  <si>
    <t>Light</t>
  </si>
  <si>
    <t>Atornillador</t>
  </si>
  <si>
    <t>PC</t>
  </si>
  <si>
    <t>Acura</t>
  </si>
  <si>
    <t>Usuario</t>
  </si>
  <si>
    <t>PC generico</t>
  </si>
  <si>
    <t>Sistema de vision</t>
  </si>
  <si>
    <t>Alta de equipos</t>
  </si>
  <si>
    <t>Alta de STEP</t>
  </si>
  <si>
    <t>Solicitud de CHIPOOL</t>
  </si>
  <si>
    <t>ST01</t>
  </si>
  <si>
    <t>Lens Adapter (Gecko)</t>
  </si>
  <si>
    <t>JOHPBA1089100</t>
  </si>
  <si>
    <t>VSS1H-6050-001</t>
  </si>
  <si>
    <t>Ito-group</t>
  </si>
  <si>
    <t>VSS1H-6050</t>
  </si>
  <si>
    <t>Acura 3.1</t>
  </si>
  <si>
    <t>C-10003144532</t>
  </si>
  <si>
    <t>JDE-LA01-001</t>
  </si>
  <si>
    <t>NA</t>
  </si>
  <si>
    <t>MXCHIM2JDGK02</t>
  </si>
  <si>
    <t>\\MXCHIM2JDGK02\Users\SVGCHI_JDESAUTO\Documents\Compartida</t>
  </si>
  <si>
    <t>N/A</t>
  </si>
  <si>
    <t>16-AT35-3318-00021</t>
  </si>
  <si>
    <t>x</t>
  </si>
  <si>
    <t>RITM3312947</t>
  </si>
  <si>
    <t>A36561</t>
  </si>
  <si>
    <t>16-AT40-3318-00013</t>
  </si>
  <si>
    <t>16-AT35-3318-00013</t>
  </si>
  <si>
    <t>16-HS00-8018-00471</t>
  </si>
  <si>
    <t>16-HS00-8018-00479</t>
  </si>
  <si>
    <t>OK</t>
  </si>
  <si>
    <t>CMK_ST01.xlsm</t>
  </si>
  <si>
    <t>192.168.100.12:8500</t>
  </si>
  <si>
    <t>192.168.100.13:8234</t>
  </si>
  <si>
    <t>192.168.100.14:4545</t>
  </si>
  <si>
    <t>SVGCHI_JDESAUTO</t>
  </si>
  <si>
    <t>Jabil@2021</t>
  </si>
  <si>
    <t>\\mxchim0pool02\PHOENIX\GECKO</t>
  </si>
  <si>
    <t>ST02</t>
  </si>
  <si>
    <t>Ampseal Socket Attach</t>
  </si>
  <si>
    <t>000000-9520-967</t>
  </si>
  <si>
    <t>VSS1H-6050-002</t>
  </si>
  <si>
    <t>JD-ASA02-002</t>
  </si>
  <si>
    <t>MXCHIM2JDGK01 </t>
  </si>
  <si>
    <t>\\MXCHIM2JDGK01\Shared</t>
  </si>
  <si>
    <t>A36128</t>
  </si>
  <si>
    <t>16-AT40-3318-00014</t>
  </si>
  <si>
    <t>16-AT35-3318-00014</t>
  </si>
  <si>
    <t>16-HS00-8018-00472</t>
  </si>
  <si>
    <t>16-HS00-8018-00480</t>
  </si>
  <si>
    <t>CMK_ST02.xlsm</t>
  </si>
  <si>
    <t>192.168.100.22:8500</t>
  </si>
  <si>
    <t>192.168.100.23:8234</t>
  </si>
  <si>
    <t>192.168.100.24:4546</t>
  </si>
  <si>
    <t>ST03</t>
  </si>
  <si>
    <t>BOT Assy</t>
  </si>
  <si>
    <t>000000-9521-684</t>
  </si>
  <si>
    <t>VSS1H-6050-003</t>
  </si>
  <si>
    <t>JDE-BA03-003</t>
  </si>
  <si>
    <t>MXCHIM2JDGK03</t>
  </si>
  <si>
    <t>\\MXCHIM2JDGK03\Users\SVGCHI_JDESAUTO\Documents\Compartida</t>
  </si>
  <si>
    <t>A36565</t>
  </si>
  <si>
    <t>16-AT40-3318-00015</t>
  </si>
  <si>
    <t>16-AT35-3318-00015</t>
  </si>
  <si>
    <t>16-HS00-8018-00473</t>
  </si>
  <si>
    <t>16-HS00-8018-00481</t>
  </si>
  <si>
    <t>CMK_ST03.xlsm</t>
  </si>
  <si>
    <t>192.168.100.32:8500</t>
  </si>
  <si>
    <t>192.168.100.33:8234</t>
  </si>
  <si>
    <t>192.168.100.34:4545</t>
  </si>
  <si>
    <t>ST04</t>
  </si>
  <si>
    <t>LED Assy</t>
  </si>
  <si>
    <t>VSS1H-6050-004</t>
  </si>
  <si>
    <t>JDE-LA04-004</t>
  </si>
  <si>
    <t>MXCHIM2JDGK04</t>
  </si>
  <si>
    <t>\\MXCHIM2JDGK04/Users/SVGCHI_JDESAUTO/Documents/Compartido</t>
  </si>
  <si>
    <t>A36564</t>
  </si>
  <si>
    <t>16-AT40-3318-00016</t>
  </si>
  <si>
    <t>16-AT35-3318-00016</t>
  </si>
  <si>
    <t>16-HS00-8018-00474</t>
  </si>
  <si>
    <t>16-HS00-8018-00482</t>
  </si>
  <si>
    <t>CMK_ST04.xlsm</t>
  </si>
  <si>
    <t>192.168.100.42:8500</t>
  </si>
  <si>
    <t>192.168.100.43:8234</t>
  </si>
  <si>
    <t>192.168.100.44:4545</t>
  </si>
  <si>
    <t>ST05</t>
  </si>
  <si>
    <t>Moisture Absorber</t>
  </si>
  <si>
    <t>000000-9521-679</t>
  </si>
  <si>
    <t>VSS1H-6050-005</t>
  </si>
  <si>
    <t>JDE-MA05-005</t>
  </si>
  <si>
    <t>MXCHIM2JDGK05</t>
  </si>
  <si>
    <t>\\MXCHIM2JDGK05/Users/SVGCHI_JDESAUTO/Documents/Compartido</t>
  </si>
  <si>
    <t>A36563</t>
  </si>
  <si>
    <t>16-AT40-3318-00017</t>
  </si>
  <si>
    <t>16-AT35-3318-00017</t>
  </si>
  <si>
    <t>16-HS00-8018-00475</t>
  </si>
  <si>
    <t>16-HS00-8018-00483</t>
  </si>
  <si>
    <t>CMK_ST05.xlsm</t>
  </si>
  <si>
    <t>192.168.100.52:8500</t>
  </si>
  <si>
    <t>192.168.100.53:8234</t>
  </si>
  <si>
    <t>192.168.100.54:4546</t>
  </si>
  <si>
    <t>ST06</t>
  </si>
  <si>
    <t>Final Assy</t>
  </si>
  <si>
    <t>PFA13568</t>
  </si>
  <si>
    <t>VSS1H-6050-006</t>
  </si>
  <si>
    <t>JDE-FA06-006</t>
  </si>
  <si>
    <t>MXCHIM2JDGK06</t>
  </si>
  <si>
    <t>\\MXCHIM2JDGK06/Users/SVGCHI_JDESAUTO/Documents/Compartido</t>
  </si>
  <si>
    <t>A36562</t>
  </si>
  <si>
    <t>16-AT40-3318-00018</t>
  </si>
  <si>
    <t>16-AT35-3318-00018</t>
  </si>
  <si>
    <t>16-HS00-8018-00476</t>
  </si>
  <si>
    <t>16-HS00-8018-00484</t>
  </si>
  <si>
    <t>CMK_ST06.xlsm</t>
  </si>
  <si>
    <t>192.168.100.62:8500</t>
  </si>
  <si>
    <t>192.168.100.63:8234</t>
  </si>
  <si>
    <t>192.168.100.64:4545</t>
  </si>
  <si>
    <t>ST07</t>
  </si>
  <si>
    <t>Desiccant Cartridge</t>
  </si>
  <si>
    <t>MS-550-001</t>
  </si>
  <si>
    <t>MS-550</t>
  </si>
  <si>
    <t>JDDC07-C001</t>
  </si>
  <si>
    <t>MXCHIM2JDGK07</t>
  </si>
  <si>
    <t>16-AT40-3318-00019</t>
  </si>
  <si>
    <t>16-AT35-3318-00019</t>
  </si>
  <si>
    <t>16-HS00-8018-00477</t>
  </si>
  <si>
    <t>16-HS00-8018-00485</t>
  </si>
  <si>
    <t>192.168.100.72:8500</t>
  </si>
  <si>
    <t>192.168.100.73:8234</t>
  </si>
  <si>
    <t>192.168.100.74:4545</t>
  </si>
  <si>
    <t>ST08</t>
  </si>
  <si>
    <t>Top Gasket Attachment</t>
  </si>
  <si>
    <t>MS-550-002</t>
  </si>
  <si>
    <t>JDTG08-C002</t>
  </si>
  <si>
    <t>MXCHIM2JDGK08</t>
  </si>
  <si>
    <t>16-AT40-3318-00020</t>
  </si>
  <si>
    <t>16-AT35-3318-00020</t>
  </si>
  <si>
    <t>16-HS00-8018-00478</t>
  </si>
  <si>
    <t>16-HS00-8018-00486</t>
  </si>
  <si>
    <t>192.168.100.82:8500</t>
  </si>
  <si>
    <t>192.168.100.83:8234</t>
  </si>
  <si>
    <t>192.168.100.84:4546</t>
  </si>
  <si>
    <t>Tareas de mantenimiento</t>
  </si>
  <si>
    <t>Manual de operacion</t>
  </si>
  <si>
    <t>Ayudas Visuales</t>
  </si>
  <si>
    <t>Hojas de parametro</t>
  </si>
  <si>
    <t>Seguridad</t>
  </si>
  <si>
    <t>Screwdriver</t>
  </si>
  <si>
    <t>Atlas Copco</t>
  </si>
  <si>
    <t>QMC41-100-I06</t>
  </si>
  <si>
    <t>C7590571</t>
  </si>
  <si>
    <t>C7590564</t>
  </si>
  <si>
    <t>C7590565</t>
  </si>
  <si>
    <t>ST04a</t>
  </si>
  <si>
    <t>C7590568</t>
  </si>
  <si>
    <t>ST04b</t>
  </si>
  <si>
    <t>ETD-M120-ABL</t>
  </si>
  <si>
    <t>D7571961</t>
  </si>
  <si>
    <t>QMC41-150-I06</t>
  </si>
  <si>
    <t>C7590582</t>
  </si>
  <si>
    <t>QMT61-500-I06</t>
  </si>
  <si>
    <t>A7581492</t>
  </si>
  <si>
    <t>ETD SL21-07-I06-PS</t>
  </si>
  <si>
    <t>A7492604</t>
  </si>
  <si>
    <t>A7580737</t>
  </si>
  <si>
    <t>Torquimetro</t>
  </si>
  <si>
    <t>KILEWS</t>
  </si>
  <si>
    <t>KTM-150</t>
  </si>
  <si>
    <t>Evidencia</t>
  </si>
  <si>
    <r>
      <t xml:space="preserve">Lens Adapter (Gecko)
</t>
    </r>
    <r>
      <rPr>
        <sz val="11"/>
        <color rgb="FF0070C0"/>
        <rFont val="Aptos Narrow"/>
        <family val="2"/>
        <scheme val="minor"/>
      </rPr>
      <t>Sensor
Lens Holder</t>
    </r>
  </si>
  <si>
    <r>
      <t xml:space="preserve">Ampseal Socket Attach
</t>
    </r>
    <r>
      <rPr>
        <sz val="11"/>
        <color rgb="FF0070C0"/>
        <rFont val="Aptos Narrow"/>
        <family val="2"/>
        <scheme val="minor"/>
      </rPr>
      <t>Serilizer</t>
    </r>
  </si>
  <si>
    <r>
      <t xml:space="preserve">Dispensing Asselec
</t>
    </r>
    <r>
      <rPr>
        <sz val="11"/>
        <color rgb="FF0070C0"/>
        <rFont val="Aptos Narrow"/>
        <family val="2"/>
        <scheme val="minor"/>
      </rPr>
      <t>Top Housing</t>
    </r>
  </si>
  <si>
    <r>
      <t xml:space="preserve">Kasalis
</t>
    </r>
    <r>
      <rPr>
        <sz val="11"/>
        <color rgb="FF0070C0"/>
        <rFont val="Aptos Narrow"/>
        <family val="2"/>
        <scheme val="minor"/>
      </rPr>
      <t>Sensor
Lente</t>
    </r>
  </si>
  <si>
    <r>
      <t xml:space="preserve">Moisture Absorber
</t>
    </r>
    <r>
      <rPr>
        <sz val="11"/>
        <color rgb="FF0070C0"/>
        <rFont val="Aptos Narrow"/>
        <family val="2"/>
        <scheme val="minor"/>
      </rPr>
      <t>Top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rgb="FF0070C0"/>
        <rFont val="Aptos Narrow"/>
        <family val="2"/>
        <scheme val="minor"/>
      </rPr>
      <t>Housing</t>
    </r>
  </si>
  <si>
    <r>
      <t xml:space="preserve">Curing Oven
</t>
    </r>
    <r>
      <rPr>
        <sz val="11"/>
        <color rgb="FF0070C0"/>
        <rFont val="Aptos Narrow"/>
        <family val="2"/>
        <scheme val="minor"/>
      </rPr>
      <t>Sensor</t>
    </r>
  </si>
  <si>
    <r>
      <t xml:space="preserve">Bot Assy
</t>
    </r>
    <r>
      <rPr>
        <sz val="11"/>
        <color rgb="FF002060"/>
        <rFont val="Aptos Narrow"/>
        <family val="2"/>
        <scheme val="minor"/>
      </rPr>
      <t>Serializer</t>
    </r>
    <r>
      <rPr>
        <sz val="11"/>
        <color rgb="FF0070C0"/>
        <rFont val="Aptos Narrow"/>
        <family val="2"/>
        <scheme val="minor"/>
      </rPr>
      <t xml:space="preserve">
Sensor
Bot Housing</t>
    </r>
  </si>
  <si>
    <r>
      <t xml:space="preserve">LEDs Assy
</t>
    </r>
    <r>
      <rPr>
        <sz val="11"/>
        <color rgb="FF0070C0"/>
        <rFont val="Aptos Narrow"/>
        <family val="2"/>
        <scheme val="minor"/>
      </rPr>
      <t>Serializer</t>
    </r>
  </si>
  <si>
    <r>
      <t xml:space="preserve">Final Assy
</t>
    </r>
    <r>
      <rPr>
        <sz val="11"/>
        <color rgb="FF002060"/>
        <rFont val="Aptos Narrow"/>
        <family val="2"/>
        <scheme val="minor"/>
      </rPr>
      <t>Top Housing</t>
    </r>
    <r>
      <rPr>
        <sz val="11"/>
        <color rgb="FF0070C0"/>
        <rFont val="Aptos Narrow"/>
        <family val="2"/>
        <scheme val="minor"/>
      </rPr>
      <t xml:space="preserve">
Serilizer</t>
    </r>
  </si>
  <si>
    <t>Leak test</t>
  </si>
  <si>
    <t>EOL</t>
  </si>
  <si>
    <r>
      <t xml:space="preserve">Desiccant Cartridge
</t>
    </r>
    <r>
      <rPr>
        <sz val="11"/>
        <color rgb="FF0070C0"/>
        <rFont val="Aptos Narrow"/>
        <family val="2"/>
        <scheme val="minor"/>
      </rPr>
      <t>Ensamble</t>
    </r>
  </si>
  <si>
    <r>
      <t xml:space="preserve">Top Gasket Attachment
</t>
    </r>
    <r>
      <rPr>
        <sz val="11"/>
        <color rgb="FF0070C0"/>
        <rFont val="Aptos Narrow"/>
        <family val="2"/>
        <scheme val="minor"/>
      </rPr>
      <t>Ensamble</t>
    </r>
  </si>
  <si>
    <t xml:space="preserve">Final Inspection </t>
  </si>
  <si>
    <t>Estacion</t>
  </si>
  <si>
    <t>No AV</t>
  </si>
  <si>
    <t>Materiales</t>
  </si>
  <si>
    <t>Valores de torque (J)</t>
  </si>
  <si>
    <t>Paso 1</t>
  </si>
  <si>
    <t>Paso 2</t>
  </si>
  <si>
    <t>Paso 3</t>
  </si>
  <si>
    <t>Paso 4</t>
  </si>
  <si>
    <t>Paso 5</t>
  </si>
  <si>
    <t>Paso 6</t>
  </si>
  <si>
    <t>Paso 7</t>
  </si>
  <si>
    <t>Paso 8</t>
  </si>
  <si>
    <t>Paso 9</t>
  </si>
  <si>
    <t>Paso 10</t>
  </si>
  <si>
    <t>Paso 11</t>
  </si>
  <si>
    <t>Paso 12</t>
  </si>
  <si>
    <t>Paso 13</t>
  </si>
  <si>
    <t>Paso 14</t>
  </si>
  <si>
    <t>Paso 15</t>
  </si>
  <si>
    <t>Paso 16</t>
  </si>
  <si>
    <t>Paso 17</t>
  </si>
  <si>
    <r>
      <rPr>
        <b/>
        <sz val="11"/>
        <color theme="1"/>
        <rFont val="Aptos Narrow"/>
        <family val="2"/>
        <scheme val="minor"/>
      </rPr>
      <t>9520-856</t>
    </r>
    <r>
      <rPr>
        <sz val="11"/>
        <color theme="1"/>
        <rFont val="Aptos Narrow"/>
        <family val="2"/>
        <scheme val="minor"/>
      </rPr>
      <t xml:space="preserve"> - Lens holder
</t>
    </r>
    <r>
      <rPr>
        <b/>
        <sz val="11"/>
        <color theme="1"/>
        <rFont val="Aptos Narrow"/>
        <family val="2"/>
        <scheme val="minor"/>
      </rPr>
      <t>9590-142</t>
    </r>
    <r>
      <rPr>
        <sz val="11"/>
        <color theme="1"/>
        <rFont val="Aptos Narrow"/>
        <family val="2"/>
        <scheme val="minor"/>
      </rPr>
      <t xml:space="preserve"> - Socket Pan Head Screw M2.5x8 TX6 ISO 145
</t>
    </r>
    <r>
      <rPr>
        <b/>
        <sz val="11"/>
        <color theme="1"/>
        <rFont val="Aptos Narrow"/>
        <family val="2"/>
        <scheme val="minor"/>
      </rPr>
      <t>JOHPBA1089100</t>
    </r>
    <r>
      <rPr>
        <sz val="11"/>
        <color theme="1"/>
        <rFont val="Aptos Narrow"/>
        <family val="2"/>
        <scheme val="minor"/>
      </rPr>
      <t xml:space="preserve"> - Sensor</t>
    </r>
  </si>
  <si>
    <t>Colocar Lens Holder (9520-856) en el nido</t>
  </si>
  <si>
    <t>Escane QR del Lens Holder</t>
  </si>
  <si>
    <t>Coloque PCBA en el nido</t>
  </si>
  <si>
    <t>Escane la PCBA</t>
  </si>
  <si>
    <t>Baje el pizador del nido</t>
  </si>
  <si>
    <t>Presione simultaneamento ambos botones de inicio</t>
  </si>
  <si>
    <t>Levante pizadores</t>
  </si>
  <si>
    <t>Retire el ensamble</t>
  </si>
  <si>
    <r>
      <rPr>
        <b/>
        <sz val="11"/>
        <color theme="1"/>
        <rFont val="Aptos Narrow"/>
        <family val="2"/>
        <scheme val="minor"/>
      </rPr>
      <t>9520-976</t>
    </r>
    <r>
      <rPr>
        <sz val="11"/>
        <color theme="1"/>
        <rFont val="Aptos Narrow"/>
        <family val="2"/>
        <scheme val="minor"/>
      </rPr>
      <t xml:space="preserve"> - TE as 16-p sealed header
</t>
    </r>
    <r>
      <rPr>
        <b/>
        <sz val="11"/>
        <color theme="1"/>
        <rFont val="Aptos Narrow"/>
        <family val="2"/>
        <scheme val="minor"/>
      </rPr>
      <t>9520-547</t>
    </r>
    <r>
      <rPr>
        <sz val="11"/>
        <color theme="1"/>
        <rFont val="Aptos Narrow"/>
        <family val="2"/>
        <scheme val="minor"/>
      </rPr>
      <t xml:space="preserve"> - O Ring, 3,68x1,78 (70 Shore A)
</t>
    </r>
    <r>
      <rPr>
        <b/>
        <sz val="11"/>
        <color theme="1"/>
        <rFont val="Aptos Narrow"/>
        <family val="2"/>
        <scheme val="minor"/>
      </rPr>
      <t>9590-120</t>
    </r>
    <r>
      <rPr>
        <sz val="11"/>
        <color theme="1"/>
        <rFont val="Aptos Narrow"/>
        <family val="2"/>
        <scheme val="minor"/>
      </rPr>
      <t xml:space="preserve"> - Self Tapping Screw Ejot EVO PT 25x6/5 WN
</t>
    </r>
    <r>
      <rPr>
        <b/>
        <sz val="11"/>
        <color theme="1"/>
        <rFont val="Aptos Narrow"/>
        <family val="2"/>
        <scheme val="minor"/>
      </rPr>
      <t>JOHPBA1089108</t>
    </r>
    <r>
      <rPr>
        <sz val="11"/>
        <color theme="1"/>
        <rFont val="Aptos Narrow"/>
        <family val="2"/>
        <scheme val="minor"/>
      </rPr>
      <t xml:space="preserve"> - Serializer</t>
    </r>
  </si>
  <si>
    <t>Colocar el orin en el ampseal, Coloque el Amseal en el nido</t>
  </si>
  <si>
    <t>Bajar pizadores</t>
  </si>
  <si>
    <t>abre pizadores</t>
  </si>
  <si>
    <t>Colococar Serializer</t>
  </si>
  <si>
    <t>Escaneo Serializer</t>
  </si>
  <si>
    <t>Levanto pizadores</t>
  </si>
  <si>
    <t>Retire la pieza</t>
  </si>
  <si>
    <r>
      <rPr>
        <b/>
        <sz val="11"/>
        <color rgb="FF00B0F0"/>
        <rFont val="Aptos Narrow"/>
        <family val="2"/>
        <scheme val="minor"/>
      </rPr>
      <t>000000-9520-864</t>
    </r>
    <r>
      <rPr>
        <sz val="11"/>
        <color theme="1"/>
        <rFont val="Aptos Narrow"/>
        <family val="2"/>
        <scheme val="minor"/>
      </rPr>
      <t xml:space="preserve"> - Ensamble AA
</t>
    </r>
    <r>
      <rPr>
        <b/>
        <sz val="11"/>
        <color rgb="FF00B0F0"/>
        <rFont val="Aptos Narrow"/>
        <family val="2"/>
        <scheme val="minor"/>
      </rPr>
      <t xml:space="preserve">000000-9520-967 </t>
    </r>
    <r>
      <rPr>
        <sz val="11"/>
        <rFont val="Aptos Narrow"/>
        <family val="2"/>
        <scheme val="minor"/>
      </rPr>
      <t xml:space="preserve">- Ensamble Ampseal
</t>
    </r>
    <r>
      <rPr>
        <b/>
        <sz val="11"/>
        <rFont val="Aptos Narrow"/>
        <family val="2"/>
        <scheme val="minor"/>
      </rPr>
      <t>9521-383</t>
    </r>
    <r>
      <rPr>
        <sz val="11"/>
        <rFont val="Aptos Narrow"/>
        <family val="2"/>
        <scheme val="minor"/>
      </rPr>
      <t xml:space="preserve"> - Sensor FPCA Foam 
</t>
    </r>
    <r>
      <rPr>
        <b/>
        <sz val="11"/>
        <color theme="1"/>
        <rFont val="Aptos Narrow"/>
        <family val="2"/>
        <scheme val="minor"/>
      </rPr>
      <t>9521-516</t>
    </r>
    <r>
      <rPr>
        <sz val="11"/>
        <color theme="1"/>
        <rFont val="Aptos Narrow"/>
        <family val="2"/>
        <scheme val="minor"/>
      </rPr>
      <t xml:space="preserve"> - Bottom Housing
</t>
    </r>
    <r>
      <rPr>
        <b/>
        <sz val="11"/>
        <color theme="1"/>
        <rFont val="Aptos Narrow"/>
        <family val="2"/>
        <scheme val="minor"/>
      </rPr>
      <t>9590-148</t>
    </r>
    <r>
      <rPr>
        <sz val="11"/>
        <color theme="1"/>
        <rFont val="Aptos Narrow"/>
        <family val="2"/>
        <scheme val="minor"/>
      </rPr>
      <t xml:space="preserve"> - Bossard 6514881 Torx ultra slim head M2.5x6 zinc black</t>
    </r>
  </si>
  <si>
    <r>
      <rPr>
        <b/>
        <sz val="11"/>
        <color theme="1"/>
        <rFont val="Aptos Narrow"/>
        <family val="2"/>
        <scheme val="minor"/>
      </rPr>
      <t>9590-148</t>
    </r>
    <r>
      <rPr>
        <sz val="11"/>
        <color theme="1"/>
        <rFont val="Aptos Narrow"/>
        <family val="2"/>
        <scheme val="minor"/>
      </rPr>
      <t xml:space="preserve"> - Bossard 6514881 Torx ultra slim head M2.5x6 zinc black
</t>
    </r>
    <r>
      <rPr>
        <b/>
        <sz val="11"/>
        <color theme="1"/>
        <rFont val="Aptos Narrow"/>
        <family val="2"/>
        <scheme val="minor"/>
      </rPr>
      <t>9590-142</t>
    </r>
    <r>
      <rPr>
        <sz val="11"/>
        <color theme="1"/>
        <rFont val="Aptos Narrow"/>
        <family val="2"/>
        <scheme val="minor"/>
      </rPr>
      <t xml:space="preserve"> - Socket Pan Head Screw M2.5x8 TX8 ISO 14583/zinc Nylok</t>
    </r>
  </si>
  <si>
    <r>
      <rPr>
        <b/>
        <sz val="11"/>
        <color theme="1"/>
        <rFont val="Aptos Narrow"/>
        <family val="2"/>
        <scheme val="minor"/>
      </rPr>
      <t>9521-518</t>
    </r>
    <r>
      <rPr>
        <sz val="11"/>
        <color theme="1"/>
        <rFont val="Aptos Narrow"/>
        <family val="2"/>
        <scheme val="minor"/>
      </rPr>
      <t xml:space="preserve"> - Moisture Absorber
</t>
    </r>
    <r>
      <rPr>
        <b/>
        <sz val="11"/>
        <color theme="1"/>
        <rFont val="Aptos Narrow"/>
        <family val="2"/>
        <scheme val="minor"/>
      </rPr>
      <t>9521-304</t>
    </r>
    <r>
      <rPr>
        <sz val="11"/>
        <color theme="1"/>
        <rFont val="Aptos Narrow"/>
        <family val="2"/>
        <scheme val="minor"/>
      </rPr>
      <t xml:space="preserve"> - Chart Grey Scale
</t>
    </r>
    <r>
      <rPr>
        <b/>
        <sz val="11"/>
        <color theme="1"/>
        <rFont val="Aptos Narrow"/>
        <family val="2"/>
        <scheme val="minor"/>
      </rPr>
      <t>9521-305</t>
    </r>
    <r>
      <rPr>
        <sz val="11"/>
        <color theme="1"/>
        <rFont val="Aptos Narrow"/>
        <family val="2"/>
        <scheme val="minor"/>
      </rPr>
      <t xml:space="preserve"> - Chart Color Scale
</t>
    </r>
    <r>
      <rPr>
        <b/>
        <sz val="11"/>
        <color theme="1"/>
        <rFont val="Aptos Narrow"/>
        <family val="2"/>
        <scheme val="minor"/>
      </rPr>
      <t>9590-140</t>
    </r>
    <r>
      <rPr>
        <sz val="11"/>
        <color theme="1"/>
        <rFont val="Aptos Narrow"/>
        <family val="2"/>
        <scheme val="minor"/>
      </rPr>
      <t xml:space="preserve"> - Bossard 6503868 M3x10 zinc silver / Nylon</t>
    </r>
  </si>
  <si>
    <r>
      <rPr>
        <b/>
        <sz val="11"/>
        <color rgb="FF00B0F0"/>
        <rFont val="Aptos Narrow"/>
        <family val="2"/>
        <scheme val="minor"/>
      </rPr>
      <t>000000-9521-679</t>
    </r>
    <r>
      <rPr>
        <b/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 xml:space="preserve">FRONT
</t>
    </r>
    <r>
      <rPr>
        <b/>
        <sz val="11"/>
        <color rgb="FF00B0F0"/>
        <rFont val="Aptos Narrow"/>
        <family val="2"/>
        <scheme val="minor"/>
      </rPr>
      <t>000000-9521-684</t>
    </r>
    <r>
      <rPr>
        <b/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>BACK</t>
    </r>
    <r>
      <rPr>
        <b/>
        <sz val="11"/>
        <color theme="1"/>
        <rFont val="Aptos Narrow"/>
        <family val="2"/>
        <scheme val="minor"/>
      </rPr>
      <t xml:space="preserve">
9521-517</t>
    </r>
    <r>
      <rPr>
        <sz val="11"/>
        <color theme="1"/>
        <rFont val="Aptos Narrow"/>
        <family val="2"/>
        <scheme val="minor"/>
      </rPr>
      <t xml:space="preserve"> - Sealing
</t>
    </r>
    <r>
      <rPr>
        <b/>
        <sz val="11"/>
        <color theme="1"/>
        <rFont val="Aptos Narrow"/>
        <family val="2"/>
        <scheme val="minor"/>
      </rPr>
      <t>9590-138</t>
    </r>
    <r>
      <rPr>
        <sz val="11"/>
        <color theme="1"/>
        <rFont val="Aptos Narrow"/>
        <family val="2"/>
        <scheme val="minor"/>
      </rPr>
      <t xml:space="preserve"> - Bossard 6503869 M4x14 zinc silver / Nylon</t>
    </r>
  </si>
  <si>
    <r>
      <rPr>
        <b/>
        <sz val="11"/>
        <color theme="1"/>
        <rFont val="Aptos Narrow"/>
        <family val="2"/>
        <scheme val="minor"/>
      </rPr>
      <t>9520-861</t>
    </r>
    <r>
      <rPr>
        <sz val="11"/>
        <color theme="1"/>
        <rFont val="Aptos Narrow"/>
        <family val="2"/>
        <scheme val="minor"/>
      </rPr>
      <t xml:space="preserve"> - Desiccant Cartridge</t>
    </r>
  </si>
  <si>
    <r>
      <rPr>
        <b/>
        <sz val="11"/>
        <color theme="1"/>
        <rFont val="Aptos Narrow"/>
        <family val="2"/>
        <scheme val="minor"/>
      </rPr>
      <t xml:space="preserve">9520-866 </t>
    </r>
    <r>
      <rPr>
        <sz val="11"/>
        <color theme="1"/>
        <rFont val="Aptos Narrow"/>
        <family val="2"/>
        <scheme val="minor"/>
      </rPr>
      <t xml:space="preserve">- Top Gasket
</t>
    </r>
    <r>
      <rPr>
        <b/>
        <sz val="11"/>
        <color theme="1"/>
        <rFont val="Aptos Narrow"/>
        <family val="2"/>
        <scheme val="minor"/>
      </rPr>
      <t>9520-860</t>
    </r>
    <r>
      <rPr>
        <sz val="11"/>
        <color theme="1"/>
        <rFont val="Aptos Narrow"/>
        <family val="2"/>
        <scheme val="minor"/>
      </rPr>
      <t xml:space="preserve"> - Absorber Cover
</t>
    </r>
    <r>
      <rPr>
        <b/>
        <sz val="11"/>
        <color theme="1"/>
        <rFont val="Aptos Narrow"/>
        <family val="2"/>
        <scheme val="minor"/>
      </rPr>
      <t>9522-414</t>
    </r>
    <r>
      <rPr>
        <sz val="11"/>
        <color theme="1"/>
        <rFont val="Aptos Narrow"/>
        <family val="2"/>
        <scheme val="minor"/>
      </rPr>
      <t xml:space="preserve"> - Compliance
</t>
    </r>
    <r>
      <rPr>
        <b/>
        <sz val="11"/>
        <color theme="1"/>
        <rFont val="Aptos Narrow"/>
        <family val="2"/>
        <scheme val="minor"/>
      </rPr>
      <t xml:space="preserve">9521-683 </t>
    </r>
    <r>
      <rPr>
        <sz val="11"/>
        <color theme="1"/>
        <rFont val="Aptos Narrow"/>
        <family val="2"/>
        <scheme val="minor"/>
      </rPr>
      <t>- Protection foil</t>
    </r>
  </si>
  <si>
    <t>Proyecto</t>
  </si>
  <si>
    <t>Pendientes</t>
  </si>
  <si>
    <t>Responsables</t>
  </si>
  <si>
    <t>Estatus</t>
  </si>
  <si>
    <t>Fecha</t>
  </si>
  <si>
    <t>Comentarios</t>
  </si>
  <si>
    <t>ELK</t>
  </si>
  <si>
    <t>8D Leak: Retrabar la estacion para:
 1.- Que se pueda cambiar la secuencia
 2.- Que se pueda inspeccionar el oring cuadrado
 3.- Inspeccionar acentamiento de los oring
 4.- Sensor para monitorear el housing
 5.- Que el control sea por Acura con BL20</t>
  </si>
  <si>
    <t>Javier Villagran</t>
  </si>
  <si>
    <t>Open</t>
  </si>
  <si>
    <t>Conseguir el presupuesto estimado por parte de Pedro</t>
  </si>
  <si>
    <t>Integrar Badger / Ilumination  al programa de monitoreo</t>
  </si>
  <si>
    <t>TBD</t>
  </si>
  <si>
    <t>JOS Abierto</t>
  </si>
  <si>
    <t>Gecko</t>
  </si>
  <si>
    <t>Integrar Gecko al programa de Monitoreo</t>
  </si>
  <si>
    <t>Requieren que este el prorama de gecko en el equipo</t>
  </si>
  <si>
    <t>Listado de refacciones</t>
  </si>
  <si>
    <t>Adrian Obleda</t>
  </si>
  <si>
    <t>Revisar que si sean los del equipo</t>
  </si>
  <si>
    <t>Scorpion</t>
  </si>
  <si>
    <t>Close</t>
  </si>
  <si>
    <t>Resumen de MES (STEPS y Progreciones)</t>
  </si>
  <si>
    <t>Luis Bustillos</t>
  </si>
  <si>
    <t>Delay</t>
  </si>
  <si>
    <t>Visita de Keyence</t>
  </si>
  <si>
    <t>Joaquin Marquez</t>
  </si>
  <si>
    <t>Moose</t>
  </si>
  <si>
    <t>On going</t>
  </si>
  <si>
    <t xml:space="preserve">Fixtura de Back Assy </t>
  </si>
  <si>
    <t>Mandar Fabricar</t>
  </si>
  <si>
    <t>Fixtura de Final Assy</t>
  </si>
  <si>
    <t>Solicitar Diseño</t>
  </si>
  <si>
    <t>General</t>
  </si>
  <si>
    <t>Solicitar presupuesto para etiquetadore</t>
  </si>
  <si>
    <t>2.5K Pesos, aprobado</t>
  </si>
  <si>
    <t>PO para etiquetadora</t>
  </si>
  <si>
    <t>Maximo 140 USD</t>
  </si>
  <si>
    <t>Informacion requerida por Fred</t>
  </si>
  <si>
    <t>A3 del proyecto</t>
  </si>
  <si>
    <r>
      <rPr>
        <b/>
        <sz val="11"/>
        <color theme="1"/>
        <rFont val="Aptos Narrow"/>
        <family val="2"/>
        <scheme val="minor"/>
      </rPr>
      <t>8-Sep</t>
    </r>
    <r>
      <rPr>
        <sz val="11"/>
        <color theme="1"/>
        <rFont val="Aptos Narrow"/>
        <family val="2"/>
        <scheme val="minor"/>
      </rPr>
      <t>: Se tiene primera reunion con Lean, requerimos un planteamiento aplopiado para la implementacion se justifique mediante un A3</t>
    </r>
  </si>
  <si>
    <t>Tareas de Celoxis</t>
  </si>
  <si>
    <t>Depende del avance del proyecto</t>
  </si>
  <si>
    <t>CMK
1.- ST01
2.- ST02
3.- ST03
4.- ST04
5.- ST05
6.- ST06</t>
  </si>
  <si>
    <t>1.- Javier Villagran 
2.- Joaquin Marquez
3.- Javier Villagran
4.- Joaquin Marquez
5.- Joaquin Marquez
5.- Joaquin Marquez</t>
  </si>
  <si>
    <t>STEP</t>
  </si>
  <si>
    <t>Ensamble In</t>
  </si>
  <si>
    <t>Ensamble Out</t>
  </si>
  <si>
    <t>Progrecion</t>
  </si>
  <si>
    <t>Ligado</t>
  </si>
  <si>
    <t>Lens Adapter</t>
  </si>
  <si>
    <t>AA</t>
  </si>
  <si>
    <t>Build</t>
  </si>
  <si>
    <t>BUILD AA</t>
  </si>
  <si>
    <t>000000-9520-864</t>
  </si>
  <si>
    <t>Progression Lens Gecko</t>
  </si>
  <si>
    <t>Oven</t>
  </si>
  <si>
    <t>Curing</t>
  </si>
  <si>
    <t>Retest</t>
  </si>
  <si>
    <t>RETEST AA</t>
  </si>
  <si>
    <t xml:space="preserve">Ampseal </t>
  </si>
  <si>
    <t>JOHPBA1089108</t>
  </si>
  <si>
    <t>Progression Ampseal</t>
  </si>
  <si>
    <t>Bot Assy</t>
  </si>
  <si>
    <t>Progression Front Assy 76</t>
  </si>
  <si>
    <t>Link BOT ASSY</t>
  </si>
  <si>
    <t>LEDs Assy</t>
  </si>
  <si>
    <t>000000-9521-679 FRONT</t>
  </si>
  <si>
    <t>Progression PFA 76</t>
  </si>
  <si>
    <t>Link Back Assy</t>
  </si>
  <si>
    <t>Que cambio</t>
  </si>
  <si>
    <t>Por que cambio</t>
  </si>
  <si>
    <t>Posicion de la camara</t>
  </si>
  <si>
    <t>En la posicion anterior se tenia una imagen demaciado abierta, se acerco mas a la pieza para mejorar el enfoque de las herramientas de busqueda</t>
  </si>
  <si>
    <t>Se ajusto el lente</t>
  </si>
  <si>
    <t xml:space="preserve">Mejora la exposición para tener imágenes mas nitidas y enfocadas </t>
  </si>
  <si>
    <t xml:space="preserve">Se quitaron herraminetas </t>
  </si>
  <si>
    <t>No tenian una funcion</t>
  </si>
  <si>
    <t>Se cambiaron herramientas de inspeccion de O-Ring, Tuerca, Arandela y Fackra</t>
  </si>
  <si>
    <t>Se cambio de la herramienta de Area/Mancha a Intensidad ya que esta herramienta es mejor para medir en bajo contraste</t>
  </si>
  <si>
    <t>Se ajustaron Herramientas de inspeccion de Spacer, locktite y backplate</t>
  </si>
  <si>
    <t xml:space="preserve">Estas herramientas se mantuvieron solo se mejoro el performance </t>
  </si>
  <si>
    <t>Actividad</t>
  </si>
  <si>
    <t>Razon</t>
  </si>
  <si>
    <t>Tiempo de integracion</t>
  </si>
  <si>
    <t>Fecha compromiso</t>
  </si>
  <si>
    <t>Que se requiere para la implementacion</t>
  </si>
  <si>
    <t>Final</t>
  </si>
  <si>
    <t>Generar una pantalla que solicite el Red Rabbit y solo sea cerrado por calidad</t>
  </si>
  <si>
    <t>Obligar a MFG a realizar Red Rabbit validado por calidad</t>
  </si>
  <si>
    <t>Requerimos programacion en jabil test</t>
  </si>
  <si>
    <t>Guardar todas las imágenes de las inspecciones 
Tiempo de guardado? 2 años</t>
  </si>
  <si>
    <t>Cobertura de futuros reclamos</t>
  </si>
  <si>
    <t>se requiere mas investigacion</t>
  </si>
  <si>
    <t>Agregar que los parametros no se puedan modificar</t>
  </si>
  <si>
    <t>Dar confiabilidad a la prueba</t>
  </si>
  <si>
    <t>Se mantiene con contraseña</t>
  </si>
  <si>
    <t>Revisar acentamiento del oring</t>
  </si>
  <si>
    <t>Covertura de la queja de cliente</t>
  </si>
  <si>
    <t>Se realizara un assesment para buscar la mejor herramienta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</si>
</sst>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[$$-409]* #,##0.00_);_([$$-409]* \(#,##0.00\);_([$$-409]* &quot;-&quot;??_);_(@_)"/>
  </numFmts>
  <fonts count="1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color rgb="FF002060"/>
      <name val="Aptos Narrow"/>
      <family val="2"/>
      <scheme val="minor"/>
    </font>
    <font>
      <b/>
      <sz val="11"/>
      <color rgb="FF00B0F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82">
    <xf numFmtId="0" fontId="0" fillId="0" borderId="0" xfId="0"/>
    <xf numFmtId="0" fontId="0" fillId="0" borderId="0" xfId="0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3" xfId="0" applyBorder="1"/>
    <xf numFmtId="44" fontId="0" fillId="0" borderId="3" xfId="1" applyFont="1" applyBorder="1"/>
    <xf numFmtId="0" fontId="0" fillId="0" borderId="1" xfId="0" applyBorder="1" applyAlignment="1">
      <alignment horizontal="center"/>
    </xf>
    <xf numFmtId="0" fontId="0" fillId="9" borderId="3" xfId="0" applyFill="1" applyBorder="1"/>
    <xf numFmtId="0" fontId="0" fillId="10" borderId="3" xfId="0" applyFill="1" applyBorder="1"/>
    <xf numFmtId="0" fontId="0" fillId="0" borderId="0" xfId="0" applyAlignment="1">
      <alignment wrapText="1"/>
    </xf>
    <xf numFmtId="0" fontId="3" fillId="0" borderId="3" xfId="0" applyFont="1" applyBorder="1" applyAlignment="1">
      <alignment wrapText="1"/>
    </xf>
    <xf numFmtId="0" fontId="4" fillId="0" borderId="3" xfId="2" applyBorder="1"/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vertical="center"/>
    </xf>
    <xf numFmtId="0" fontId="3" fillId="0" borderId="3" xfId="0" applyFont="1" applyBorder="1"/>
    <xf numFmtId="0" fontId="0" fillId="0" borderId="3" xfId="0" applyBorder="1" applyAlignment="1">
      <alignment horizontal="left"/>
    </xf>
    <xf numFmtId="0" fontId="0" fillId="10" borderId="8" xfId="0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3" xfId="0" applyBorder="1" applyAlignment="1">
      <alignment horizontal="left" vertical="center"/>
    </xf>
    <xf numFmtId="16" fontId="0" fillId="0" borderId="3" xfId="0" applyNumberFormat="1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0" xfId="0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/>
    </xf>
    <xf numFmtId="0" fontId="5" fillId="0" borderId="3" xfId="0" applyFont="1" applyBorder="1" applyAlignment="1">
      <alignment horizontal="left" wrapText="1"/>
    </xf>
    <xf numFmtId="0" fontId="5" fillId="0" borderId="3" xfId="0" applyFont="1" applyBorder="1" applyAlignment="1">
      <alignment horizontal="left"/>
    </xf>
    <xf numFmtId="0" fontId="0" fillId="0" borderId="3" xfId="0" applyBorder="1" applyAlignment="1">
      <alignment wrapText="1"/>
    </xf>
    <xf numFmtId="0" fontId="6" fillId="0" borderId="0" xfId="0" applyFont="1"/>
    <xf numFmtId="0" fontId="6" fillId="0" borderId="3" xfId="0" applyFont="1" applyBorder="1"/>
    <xf numFmtId="0" fontId="0" fillId="11" borderId="3" xfId="0" applyFill="1" applyBorder="1"/>
    <xf numFmtId="0" fontId="3" fillId="0" borderId="3" xfId="0" applyFont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5" borderId="3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vertical="center" wrapText="1"/>
    </xf>
    <xf numFmtId="0" fontId="3" fillId="6" borderId="3" xfId="0" applyFont="1" applyFill="1" applyBorder="1" applyAlignment="1">
      <alignment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8" xfId="2" applyBorder="1"/>
    <xf numFmtId="0" fontId="0" fillId="0" borderId="3" xfId="0" applyBorder="1" applyAlignment="1">
      <alignment horizontal="center" vertical="center"/>
    </xf>
    <xf numFmtId="0" fontId="0" fillId="12" borderId="3" xfId="0" applyFill="1" applyBorder="1" applyAlignment="1">
      <alignment wrapText="1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3" fontId="0" fillId="0" borderId="3" xfId="0" applyNumberFormat="1" applyBorder="1"/>
    <xf numFmtId="0" fontId="7" fillId="0" borderId="3" xfId="0" applyFont="1" applyBorder="1"/>
    <xf numFmtId="0" fontId="5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11" xfId="0" applyBorder="1"/>
    <xf numFmtId="164" fontId="0" fillId="0" borderId="3" xfId="1" applyNumberFormat="1" applyFont="1" applyBorder="1"/>
    <xf numFmtId="0" fontId="0" fillId="8" borderId="3" xfId="0" applyFill="1" applyBorder="1"/>
    <xf numFmtId="0" fontId="7" fillId="10" borderId="3" xfId="0" applyFont="1" applyFill="1" applyBorder="1"/>
    <xf numFmtId="0" fontId="0" fillId="7" borderId="1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4" fillId="0" borderId="3" xfId="2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4" fillId="0" borderId="1" xfId="2" applyBorder="1" applyAlignment="1">
      <alignment horizontal="center"/>
    </xf>
    <xf numFmtId="0" fontId="4" fillId="0" borderId="5" xfId="2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5" xfId="0" applyFill="1" applyBorder="1" applyAlignment="1">
      <alignment horizontal="center"/>
    </xf>
  </cellXfs>
  <cellStyles count="3">
    <cellStyle name="Currency" xfId="1" builtinId="4"/>
    <cellStyle name="Hyperlink" xfId="2" builtinId="8"/>
    <cellStyle name="Normal" xfId="0" builtinId="0"/>
  </cellStyles>
  <dxfs count="6"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22/10/relationships/richValueRel" Target="richData/richValueRel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06/relationships/rdRichValueStructure" Target="richData/rdrichvaluestructure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06/relationships/rdRichValue" Target="richData/rdrichvalue.xml"/></Relationships>
</file>

<file path=xl/documenttasks/documenttask1.xml><?xml version="1.0" encoding="utf-8"?>
<Tasks xmlns="http://schemas.microsoft.com/office/tasks/2019/documenttasks">
  <Task id="{F1D45832-AB73-41C9-944D-E62D8610DE63}">
    <Anchor>
      <Comment id="{3C2B2EC1-B3AC-4C8F-993A-2D46A2196613}"/>
    </Anchor>
    <History>
      <Event time="2025-08-27T20:40:26.55" id="{7DEA9108-F40C-45A0-8B85-808B947E4394}">
        <Attribution userId="S::Luis_Bustillos@jabil.com::6652a263-d52e-40ff-b43d-d2a6560815ac" userName="Luis Bustillos" userProvider="AD"/>
        <Anchor>
          <Comment id="{3C2B2EC1-B3AC-4C8F-993A-2D46A2196613}"/>
        </Anchor>
        <Create/>
      </Event>
      <Event time="2025-08-27T20:40:26.55" id="{4488F7D4-5A1F-485F-8565-12B03873A30E}">
        <Attribution userId="S::Luis_Bustillos@jabil.com::6652a263-d52e-40ff-b43d-d2a6560815ac" userName="Luis Bustillos" userProvider="AD"/>
        <Anchor>
          <Comment id="{3C2B2EC1-B3AC-4C8F-993A-2D46A2196613}"/>
        </Anchor>
        <Assign userId="S::JAVIER_VILLAGRAN@jabil.com::8e749b62-da33-4c2d-9302-fdcbad081f90" userName="JAVIER VILLAGRAN" userProvider="AD"/>
      </Event>
      <Event time="2025-08-27T20:40:26.55" id="{1F6CBDB6-9A7E-470A-A448-2159A774A48F}">
        <Attribution userId="S::Luis_Bustillos@jabil.com::6652a263-d52e-40ff-b43d-d2a6560815ac" userName="Luis Bustillos" userProvider="AD"/>
        <Anchor>
          <Comment id="{3C2B2EC1-B3AC-4C8F-993A-2D46A2196613}"/>
        </Anchor>
        <SetTitle title="Se tiene un listado general @JAVIER VILLAGRAN Escalar con proveedor identificar spears criticas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695325</xdr:colOff>
      <xdr:row>6</xdr:row>
      <xdr:rowOff>9525</xdr:rowOff>
    </xdr:from>
    <xdr:to>
      <xdr:col>1</xdr:col>
      <xdr:colOff>695325</xdr:colOff>
      <xdr:row>8</xdr:row>
      <xdr:rowOff>19050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17CA558D-839A-4463-4B7D-AC4C1E309611}"/>
            </a:ext>
          </a:extLst>
        </xdr:cNvPr>
        <xdr:cNvCxnSpPr/>
      </xdr:nvCxnSpPr>
      <xdr:spPr>
        <a:xfrm>
          <a:off x="4572000" y="1152525"/>
          <a:ext cx="0" cy="3905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685800</xdr:colOff>
      <xdr:row>10</xdr:row>
      <xdr:rowOff>0</xdr:rowOff>
    </xdr:from>
    <xdr:to>
      <xdr:col>1</xdr:col>
      <xdr:colOff>685800</xdr:colOff>
      <xdr:row>12</xdr:row>
      <xdr:rowOff>9525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4E0D12DD-4395-48A9-96F9-544F7DA954A0}"/>
            </a:ext>
          </a:extLst>
        </xdr:cNvPr>
        <xdr:cNvCxnSpPr/>
      </xdr:nvCxnSpPr>
      <xdr:spPr>
        <a:xfrm>
          <a:off x="4562475" y="1905000"/>
          <a:ext cx="0" cy="3905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1428750</xdr:colOff>
      <xdr:row>4</xdr:row>
      <xdr:rowOff>19049</xdr:rowOff>
    </xdr:from>
    <xdr:to>
      <xdr:col>3</xdr:col>
      <xdr:colOff>733425</xdr:colOff>
      <xdr:row>8</xdr:row>
      <xdr:rowOff>85724</xdr:rowOff>
    </xdr:to>
    <xdr:cxnSp macro="">
      <xdr:nvCxnSpPr>
        <xdr:cNvPr id="6" name="Connector: Elbow 5">
          <a:extLst>
            <a:ext uri="{FF2B5EF4-FFF2-40B4-BE49-F238E27FC236}">
              <a16:creationId xmlns:a16="http://schemas.microsoft.com/office/drawing/2014/main" id="{AC662395-5907-BBB2-2599-B249EEC0B3F3}"/>
            </a:ext>
          </a:extLst>
        </xdr:cNvPr>
        <xdr:cNvCxnSpPr/>
      </xdr:nvCxnSpPr>
      <xdr:spPr>
        <a:xfrm rot="10800000" flipV="1">
          <a:off x="2038350" y="1162049"/>
          <a:ext cx="1352550" cy="1019175"/>
        </a:xfrm>
        <a:prstGeom prst="bentConnector3">
          <a:avLst>
            <a:gd name="adj1" fmla="val 1408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</xdr:colOff>
      <xdr:row>5</xdr:row>
      <xdr:rowOff>28574</xdr:rowOff>
    </xdr:from>
    <xdr:to>
      <xdr:col>5</xdr:col>
      <xdr:colOff>638175</xdr:colOff>
      <xdr:row>12</xdr:row>
      <xdr:rowOff>114297</xdr:rowOff>
    </xdr:to>
    <xdr:cxnSp macro="">
      <xdr:nvCxnSpPr>
        <xdr:cNvPr id="8" name="Connector: Elbow 7">
          <a:extLst>
            <a:ext uri="{FF2B5EF4-FFF2-40B4-BE49-F238E27FC236}">
              <a16:creationId xmlns:a16="http://schemas.microsoft.com/office/drawing/2014/main" id="{ADBD38A9-0D24-4644-9A19-AF0C9F5BACB2}"/>
            </a:ext>
          </a:extLst>
        </xdr:cNvPr>
        <xdr:cNvCxnSpPr/>
      </xdr:nvCxnSpPr>
      <xdr:spPr>
        <a:xfrm rot="10800000" flipV="1">
          <a:off x="2047877" y="1552574"/>
          <a:ext cx="3276598" cy="2181223"/>
        </a:xfrm>
        <a:prstGeom prst="bentConnector3">
          <a:avLst>
            <a:gd name="adj1" fmla="val 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200025</xdr:colOff>
      <xdr:row>1</xdr:row>
      <xdr:rowOff>0</xdr:rowOff>
    </xdr:from>
    <xdr:to>
      <xdr:col>29</xdr:col>
      <xdr:colOff>537541</xdr:colOff>
      <xdr:row>19</xdr:row>
      <xdr:rowOff>9525</xdr:rowOff>
    </xdr:to>
    <xdr:pic>
      <xdr:nvPicPr>
        <xdr:cNvPr id="9" name="Picture 1">
          <a:extLst>
            <a:ext uri="{FF2B5EF4-FFF2-40B4-BE49-F238E27FC236}">
              <a16:creationId xmlns:a16="http://schemas.microsoft.com/office/drawing/2014/main" id="{41A17418-CA84-A480-391E-50ED5BBF13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15225" y="180975"/>
          <a:ext cx="13135941" cy="591185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AVIER VILLAGRAN" id="{2BDA21B7-0026-48D8-A73B-61DEE921117B}" userId="JAVIER_VILLAGRAN@jabil.com" providerId="PeoplePicker"/>
  <person displayName="Luis Bustillos" id="{DEE2C6A3-8442-493B-A94E-8D46B32EB336}" userId="S::Luis_Bustillos@jabil.com::6652a263-d52e-40ff-b43d-d2a6560815ac" providerId="AD"/>
</personList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9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S1" dT="2025-08-25T18:31:51.42" personId="{DEE2C6A3-8442-493B-A94E-8D46B32EB336}" id="{5B1955AA-6079-45A6-B0BE-BAC31EFA0941}">
    <text>Pegar la ruta</text>
  </threadedComment>
  <threadedComment ref="O2" dT="2025-08-25T17:51:45.89" personId="{DEE2C6A3-8442-493B-A94E-8D46B32EB336}" id="{36945FE9-5323-476A-91BC-5CBA62810963}">
    <text>Necesitamos como se van a llamar cuando se Jaibilicen</text>
  </threadedComment>
  <threadedComment ref="Y2" dT="2025-08-27T20:40:26.55" personId="{DEE2C6A3-8442-493B-A94E-8D46B32EB336}" id="{3C2B2EC1-B3AC-4C8F-993A-2D46A2196613}">
    <text>Se tiene un listado general @JAVIER VILLAGRAN Escalar con proveedor identificar spears criticas</text>
    <mentions>
      <mention mentionpersonId="{2BDA21B7-0026-48D8-A73B-61DEE921117B}" mentionId="{DBFB8DED-FFFB-4D4F-B2B0-744110A7212A}" startIndex="28" length="17"/>
    </mentions>
  </threadedComment>
  <threadedComment ref="AA2" dT="2025-08-27T20:44:30.75" personId="{DEE2C6A3-8442-493B-A94E-8D46B32EB336}" id="{2C2C0E30-A82F-4767-BB43-76B5DFA0B053}">
    <text>Las estaciones ST01, 02, 03, 05 y 07 cuentan con un diagrama general</text>
  </threadedComment>
  <threadedComment ref="AG2" dT="2025-09-04T18:40:48.97" personId="{DEE2C6A3-8442-493B-A94E-8D46B32EB336}" id="{2C76C942-F753-4095-93E0-08BAAEBABE5C}">
    <text xml:space="preserve">Ya tenemos las galgas, nos faltan pcb
</text>
  </threadedComment>
  <threadedComment ref="AS2" dT="2025-08-27T20:27:34.85" personId="{DEE2C6A3-8442-493B-A94E-8D46B32EB336}" id="{FB70F09E-6545-4AAF-8093-E08597833521}">
    <text>Copia del SSD</text>
  </threadedComment>
  <threadedComment ref="BA2" dT="2025-08-27T14:18:28.44" personId="{DEE2C6A3-8442-493B-A94E-8D46B32EB336}" id="{31A19AE9-7BED-47BE-8221-0253310C3742}">
    <text xml:space="preserve">Ya se solicitaron, pendiente la respuesta de ME
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:f:/r/personal/luis_bustillos_jabil_com/Documents/JDES/GECKO/Validaciones/GRR?csf=1&amp;web=1&amp;e=wRcMbt" TargetMode="External"/><Relationship Id="rId13" Type="http://schemas.openxmlformats.org/officeDocument/2006/relationships/hyperlink" Target="../../../../../:f:/r/personal/luis_bustillos_jabil_com/Documents/JDES/GECKO/Documentacion%20Externa/Diagramas%20electricos?csf=1&amp;web=1&amp;e=Z7BcSO" TargetMode="External"/><Relationship Id="rId18" Type="http://schemas.openxmlformats.org/officeDocument/2006/relationships/hyperlink" Target="file:///\\MXCHIM2JDGK03\Users\SVGCHI_JDESAUTO\Documents\Compartida" TargetMode="External"/><Relationship Id="rId26" Type="http://schemas.openxmlformats.org/officeDocument/2006/relationships/hyperlink" Target="file:///\\MXCHIM2JDGK05\Users\SVGCHI_JDESAUTO\Documents\Compartido" TargetMode="External"/><Relationship Id="rId3" Type="http://schemas.openxmlformats.org/officeDocument/2006/relationships/hyperlink" Target="../../../../../:f:/r/personal/luis_bustillos_jabil_com/Documents/JDES/GECKO/Documentacion/String%20gage?csf=1&amp;web=1&amp;e=617eVe" TargetMode="External"/><Relationship Id="rId21" Type="http://schemas.openxmlformats.org/officeDocument/2006/relationships/hyperlink" Target="../../../../../:x:/r/personal/luis_bustillos_jabil_com/Documents/JDES/GECKO/Validaciones/CMK/OLD/Estos%20son%20los%20buenos%20Luisirijillo/CMK_ST03.xlsm?d=wbfa5fa842856427387889c158b8b82a4&amp;csf=1&amp;web=1&amp;e=dIf0fD" TargetMode="External"/><Relationship Id="rId7" Type="http://schemas.openxmlformats.org/officeDocument/2006/relationships/hyperlink" Target="../../../../../:f:/r/personal/luis_bustillos_jabil_com/Documents/JDES/GECKO/Validaciones/Cpk?csf=1&amp;web=1&amp;e=PPTqWT" TargetMode="External"/><Relationship Id="rId12" Type="http://schemas.openxmlformats.org/officeDocument/2006/relationships/hyperlink" Target="../../../../../:f:/r/personal/luis_bustillos_jabil_com/Documents/JDES/GECKO/Back%20up/Camara?csf=1&amp;web=1&amp;e=bJ2HG0" TargetMode="External"/><Relationship Id="rId17" Type="http://schemas.openxmlformats.org/officeDocument/2006/relationships/hyperlink" Target="file:///\\MXCHIM2JDGK02\Users\SVGCHI_JDESAUTO\Documents\Compartida" TargetMode="External"/><Relationship Id="rId25" Type="http://schemas.openxmlformats.org/officeDocument/2006/relationships/hyperlink" Target="file:///\\MXCHIM2JDGK04\Users\SVGCHI_JDESAUTO\Documents\Compartido" TargetMode="External"/><Relationship Id="rId2" Type="http://schemas.openxmlformats.org/officeDocument/2006/relationships/hyperlink" Target="../../../../../:f:/r/personal/luis_bustillos_jabil_com/Documents/JDES/GECKO/Documentacion/Tareas%20de%20mantenimiento?csf=1&amp;web=1&amp;e=Skq3ex" TargetMode="External"/><Relationship Id="rId16" Type="http://schemas.openxmlformats.org/officeDocument/2006/relationships/hyperlink" Target="file:///\\MXCHIM2JDGK01\Shared" TargetMode="External"/><Relationship Id="rId20" Type="http://schemas.openxmlformats.org/officeDocument/2006/relationships/hyperlink" Target="../../../../../:x:/r/personal/luis_bustillos_jabil_com/Documents/JDES/GECKO/Validaciones/CMK/OLD/Estos%20son%20los%20buenos%20Luisirijillo/CMK_ST02.xlsm?d=w76604fbc47ec497198103182a864cbe4&amp;csf=1&amp;web=1&amp;e=KBotZu" TargetMode="External"/><Relationship Id="rId29" Type="http://schemas.openxmlformats.org/officeDocument/2006/relationships/vmlDrawing" Target="../drawings/vmlDrawing1.vml"/><Relationship Id="rId1" Type="http://schemas.openxmlformats.org/officeDocument/2006/relationships/hyperlink" Target="../../../../../:f:/r/personal/luis_bustillos_jabil_com/Documents/JDES/GECKO/Documentacion/Tareas%20de%20mantenimiento?csf=1&amp;web=1&amp;e=Skq3ex" TargetMode="External"/><Relationship Id="rId6" Type="http://schemas.openxmlformats.org/officeDocument/2006/relationships/hyperlink" Target="../../../../../:f:/r/personal/luis_bustillos_jabil_com/Documents/JDES/GECKO/Validaciones/CMK?csf=1&amp;web=1&amp;e=UbzNmu" TargetMode="External"/><Relationship Id="rId11" Type="http://schemas.openxmlformats.org/officeDocument/2006/relationships/hyperlink" Target="../../../../../:f:/r/personal/luis_bustillos_jabil_com/Documents/JDES/GECKO/Back%20up/Atornillador?csf=1&amp;web=1&amp;e=h7lUaS" TargetMode="External"/><Relationship Id="rId24" Type="http://schemas.openxmlformats.org/officeDocument/2006/relationships/hyperlink" Target="../../../../../:x:/r/personal/luis_bustillos_jabil_com/Documents/JDES/GECKO/Validaciones/CMK/OLD/Estos%20son%20los%20buenos%20Luisirijillo/CMK_ST06.xlsm?d=wd7c8023f12c14af38bd348f089cd58ce&amp;csf=1&amp;web=1&amp;e=QEQkUo" TargetMode="External"/><Relationship Id="rId32" Type="http://schemas.microsoft.com/office/2019/04/relationships/documenttask" Target="../documenttasks/documenttask1.xml"/><Relationship Id="rId5" Type="http://schemas.openxmlformats.org/officeDocument/2006/relationships/hyperlink" Target="../../../../../:f:/r/personal/luis_bustillos_jabil_com/Documents/JDES/GECKO/Documentacion/Ayudas%20Visuales?csf=1&amp;web=1&amp;e=dCHMzW" TargetMode="External"/><Relationship Id="rId15" Type="http://schemas.openxmlformats.org/officeDocument/2006/relationships/hyperlink" Target="../../../../../:f:/r/personal/luis_bustillos_jabil_com/Documents/JDES/GECKO/Documentacion%20Externa/Spear%20parts?csf=1&amp;web=1&amp;e=V8hI6f" TargetMode="External"/><Relationship Id="rId23" Type="http://schemas.openxmlformats.org/officeDocument/2006/relationships/hyperlink" Target="../../../../../:x:/r/personal/luis_bustillos_jabil_com/Documents/JDES/GECKO/Validaciones/CMK/OLD/Estos%20son%20los%20buenos%20Luisirijillo/CMK_ST05.xlsm?d=we8b0fe104b0d41f18371e28a58e3967e&amp;csf=1&amp;web=1&amp;e=Elxwjy" TargetMode="External"/><Relationship Id="rId28" Type="http://schemas.openxmlformats.org/officeDocument/2006/relationships/printerSettings" Target="../printerSettings/printerSettings1.bin"/><Relationship Id="rId10" Type="http://schemas.openxmlformats.org/officeDocument/2006/relationships/hyperlink" Target="../../../../../:f:/r/personal/luis_bustillos_jabil_com/Documents/JDES/GECKO/Back%20up/Acura?csf=1&amp;web=1&amp;e=L6d75U" TargetMode="External"/><Relationship Id="rId19" Type="http://schemas.openxmlformats.org/officeDocument/2006/relationships/hyperlink" Target="../../../../../:x:/r/personal/luis_bustillos_jabil_com/Documents/JDES/GECKO/Validaciones/CMK/OLD/Estos%20son%20los%20buenos%20Luisirijillo/CMK_ST01.xlsm?d=wbb68d029c39147e7aed6a75bc09ba4ba&amp;csf=1&amp;web=1&amp;e=2gvAFe" TargetMode="External"/><Relationship Id="rId31" Type="http://schemas.microsoft.com/office/2017/10/relationships/threadedComment" Target="../threadedComments/threadedComment1.xml"/><Relationship Id="rId4" Type="http://schemas.openxmlformats.org/officeDocument/2006/relationships/hyperlink" Target="../../../../../:f:/r/personal/luis_bustillos_jabil_com/Documents/JDES/GECKO/Documentacion/Hojas%20de%20parametro?csf=1&amp;web=1&amp;e=yrA0YU" TargetMode="External"/><Relationship Id="rId9" Type="http://schemas.openxmlformats.org/officeDocument/2006/relationships/hyperlink" Target="../../../../../:f:/r/personal/luis_bustillos_jabil_com/Documents/JDES/GECKO/Documentacion/Seguridad?csf=1&amp;web=1&amp;e=dzZOop" TargetMode="External"/><Relationship Id="rId14" Type="http://schemas.openxmlformats.org/officeDocument/2006/relationships/hyperlink" Target="../../../../../:f:/r/personal/luis_bustillos_jabil_com/Documents/JDES/GECKO/Documentacion%20Externa/Manual%20de%20operacion?csf=1&amp;web=1&amp;e=LYhGtY" TargetMode="External"/><Relationship Id="rId22" Type="http://schemas.openxmlformats.org/officeDocument/2006/relationships/hyperlink" Target="../../../../../:x:/r/personal/luis_bustillos_jabil_com/Documents/JDES/GECKO/Validaciones/CMK/OLD/Estos%20son%20los%20buenos%20Luisirijillo/CMK_ST04.xlsm?d=w96b9342bfe6b44fcbba54fe505b0009c&amp;csf=1&amp;web=1&amp;e=IM4jrZ" TargetMode="External"/><Relationship Id="rId27" Type="http://schemas.openxmlformats.org/officeDocument/2006/relationships/hyperlink" Target="file:///\\MXCHIM2JDGK06\Users\SVGCHI_JDESAUTO\Documents\Compartido" TargetMode="External"/><Relationship Id="rId30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B8494-C642-44A5-945B-1E8327BCE652}">
  <dimension ref="A1:BC24"/>
  <sheetViews>
    <sheetView tabSelected="1" zoomScale="95" zoomScaleNormal="95" workbookViewId="0">
      <pane xSplit="4" topLeftCell="AG1" activePane="topRight" state="frozen"/>
      <selection pane="topRight" activeCell="AH7" sqref="AH7"/>
    </sheetView>
  </sheetViews>
  <sheetFormatPr defaultRowHeight="15"/>
  <cols>
    <col min="1" max="1" width="11.85546875" bestFit="1" customWidth="1"/>
    <col min="2" max="2" width="21.140625" bestFit="1" customWidth="1"/>
    <col min="3" max="3" width="18.42578125" customWidth="1"/>
    <col min="4" max="4" width="16.140625" customWidth="1"/>
    <col min="5" max="5" width="15.28515625" bestFit="1" customWidth="1"/>
    <col min="6" max="6" width="11.140625" bestFit="1" customWidth="1"/>
    <col min="7" max="7" width="14" bestFit="1" customWidth="1"/>
    <col min="8" max="8" width="11.42578125" bestFit="1" customWidth="1"/>
    <col min="9" max="9" width="19.42578125" customWidth="1"/>
    <col min="10" max="10" width="15.85546875" style="48" customWidth="1"/>
    <col min="11" max="11" width="15.140625" bestFit="1" customWidth="1"/>
    <col min="12" max="12" width="17.42578125" customWidth="1"/>
    <col min="13" max="13" width="22.5703125" customWidth="1"/>
    <col min="14" max="14" width="26" customWidth="1"/>
    <col min="15" max="15" width="20.28515625" customWidth="1"/>
    <col min="16" max="16" width="11.85546875" bestFit="1" customWidth="1"/>
    <col min="17" max="17" width="12.85546875" customWidth="1"/>
    <col min="19" max="20" width="18.85546875" bestFit="1" customWidth="1"/>
    <col min="22" max="22" width="14.140625" customWidth="1"/>
    <col min="23" max="23" width="11" bestFit="1" customWidth="1"/>
    <col min="24" max="25" width="20" bestFit="1" customWidth="1"/>
    <col min="26" max="26" width="18.42578125" bestFit="1" customWidth="1"/>
    <col min="27" max="27" width="13.7109375" customWidth="1"/>
    <col min="28" max="29" width="12.42578125" bestFit="1" customWidth="1"/>
    <col min="30" max="30" width="11.5703125" customWidth="1"/>
    <col min="31" max="31" width="10.5703125" bestFit="1" customWidth="1"/>
    <col min="32" max="32" width="24.42578125" customWidth="1"/>
    <col min="33" max="33" width="25.7109375" customWidth="1"/>
    <col min="34" max="36" width="24.85546875" customWidth="1"/>
    <col min="37" max="37" width="24" bestFit="1" customWidth="1"/>
    <col min="38" max="38" width="24.140625" bestFit="1" customWidth="1"/>
    <col min="39" max="39" width="10.5703125" customWidth="1"/>
    <col min="40" max="40" width="14.5703125" customWidth="1"/>
    <col min="41" max="42" width="21.28515625" customWidth="1"/>
    <col min="43" max="43" width="19.7109375" customWidth="1"/>
    <col min="44" max="44" width="19.5703125" bestFit="1" customWidth="1"/>
    <col min="45" max="45" width="6.140625" bestFit="1" customWidth="1"/>
    <col min="46" max="46" width="12.140625" customWidth="1"/>
    <col min="47" max="47" width="17.42578125" bestFit="1" customWidth="1"/>
    <col min="48" max="48" width="18.5703125" customWidth="1"/>
    <col min="49" max="49" width="17.42578125" bestFit="1" customWidth="1"/>
    <col min="50" max="50" width="13.140625" customWidth="1"/>
    <col min="53" max="53" width="15" bestFit="1" customWidth="1"/>
    <col min="54" max="54" width="12" bestFit="1" customWidth="1"/>
    <col min="55" max="55" width="32.5703125" bestFit="1" customWidth="1"/>
  </cols>
  <sheetData>
    <row r="1" spans="1:55">
      <c r="R1" s="74" t="s">
        <v>0</v>
      </c>
      <c r="S1" s="74"/>
      <c r="T1" s="74"/>
      <c r="U1" s="74"/>
      <c r="V1" s="74"/>
      <c r="W1" s="74"/>
      <c r="X1" s="5"/>
      <c r="Y1" s="76" t="s">
        <v>1</v>
      </c>
      <c r="Z1" s="77"/>
      <c r="AA1" s="78"/>
      <c r="AC1" s="75" t="s">
        <v>2</v>
      </c>
      <c r="AD1" s="75"/>
      <c r="AE1" s="75"/>
      <c r="AF1" s="75"/>
      <c r="AG1" s="69" t="s">
        <v>3</v>
      </c>
      <c r="AH1" s="70"/>
      <c r="AI1" s="70"/>
      <c r="AJ1" s="70"/>
      <c r="AK1" s="70"/>
      <c r="AL1" s="71"/>
      <c r="AM1" s="79" t="s">
        <v>4</v>
      </c>
      <c r="AN1" s="80"/>
      <c r="AO1" s="81"/>
      <c r="AP1" s="59" t="s">
        <v>5</v>
      </c>
      <c r="AQ1" s="60"/>
      <c r="AR1" s="60"/>
      <c r="AS1" s="61" t="s">
        <v>6</v>
      </c>
      <c r="AT1" s="62"/>
      <c r="AU1" s="62"/>
      <c r="AV1" s="63"/>
      <c r="AX1" s="64" t="s">
        <v>7</v>
      </c>
      <c r="AY1" s="64"/>
      <c r="AZ1" s="64"/>
      <c r="BA1" s="65" t="s">
        <v>8</v>
      </c>
      <c r="BB1" s="66"/>
      <c r="BC1" s="67"/>
    </row>
    <row r="2" spans="1:55" s="37" customFormat="1" ht="29.25" customHeight="1">
      <c r="A2" s="29" t="s">
        <v>9</v>
      </c>
      <c r="B2" s="29" t="s">
        <v>10</v>
      </c>
      <c r="C2" s="29" t="s">
        <v>11</v>
      </c>
      <c r="D2" s="29" t="s">
        <v>12</v>
      </c>
      <c r="E2" s="29" t="s">
        <v>13</v>
      </c>
      <c r="F2" s="29" t="s">
        <v>14</v>
      </c>
      <c r="G2" s="29" t="s">
        <v>15</v>
      </c>
      <c r="H2" s="29" t="s">
        <v>16</v>
      </c>
      <c r="I2" s="29" t="s">
        <v>17</v>
      </c>
      <c r="J2" s="46" t="s">
        <v>18</v>
      </c>
      <c r="K2" s="29" t="s">
        <v>19</v>
      </c>
      <c r="L2" s="29" t="s">
        <v>20</v>
      </c>
      <c r="M2" s="29" t="s">
        <v>21</v>
      </c>
      <c r="N2" s="29" t="s">
        <v>22</v>
      </c>
      <c r="O2" s="29" t="s">
        <v>23</v>
      </c>
      <c r="P2" s="29" t="s">
        <v>24</v>
      </c>
      <c r="Q2" s="29" t="s">
        <v>17</v>
      </c>
      <c r="R2" s="30" t="s">
        <v>25</v>
      </c>
      <c r="S2" s="30" t="s">
        <v>26</v>
      </c>
      <c r="T2" s="30" t="s">
        <v>27</v>
      </c>
      <c r="U2" s="30" t="s">
        <v>28</v>
      </c>
      <c r="V2" s="30" t="s">
        <v>29</v>
      </c>
      <c r="W2" s="30" t="s">
        <v>30</v>
      </c>
      <c r="X2" s="29" t="s">
        <v>31</v>
      </c>
      <c r="Y2" s="31" t="s">
        <v>32</v>
      </c>
      <c r="Z2" s="31" t="s">
        <v>33</v>
      </c>
      <c r="AA2" s="31" t="s">
        <v>34</v>
      </c>
      <c r="AB2" s="29" t="s">
        <v>35</v>
      </c>
      <c r="AC2" s="32" t="s">
        <v>36</v>
      </c>
      <c r="AD2" s="32" t="s">
        <v>37</v>
      </c>
      <c r="AE2" s="32" t="s">
        <v>38</v>
      </c>
      <c r="AF2" s="32" t="s">
        <v>39</v>
      </c>
      <c r="AG2" s="33" t="s">
        <v>40</v>
      </c>
      <c r="AH2" s="33" t="s">
        <v>41</v>
      </c>
      <c r="AI2" s="33" t="s">
        <v>42</v>
      </c>
      <c r="AJ2" s="33" t="s">
        <v>43</v>
      </c>
      <c r="AK2" s="33" t="s">
        <v>44</v>
      </c>
      <c r="AL2" s="33" t="s">
        <v>45</v>
      </c>
      <c r="AM2" s="34" t="s">
        <v>46</v>
      </c>
      <c r="AN2" s="34" t="s">
        <v>47</v>
      </c>
      <c r="AO2" s="34" t="s">
        <v>48</v>
      </c>
      <c r="AP2" s="35" t="s">
        <v>49</v>
      </c>
      <c r="AQ2" s="35" t="s">
        <v>50</v>
      </c>
      <c r="AR2" s="35" t="s">
        <v>51</v>
      </c>
      <c r="AS2" s="33" t="s">
        <v>52</v>
      </c>
      <c r="AT2" s="33" t="s">
        <v>53</v>
      </c>
      <c r="AU2" s="33" t="s">
        <v>49</v>
      </c>
      <c r="AV2" s="33" t="s">
        <v>51</v>
      </c>
      <c r="AW2" s="31" t="s">
        <v>54</v>
      </c>
      <c r="AX2" s="36" t="s">
        <v>55</v>
      </c>
      <c r="AY2" s="36" t="s">
        <v>51</v>
      </c>
      <c r="AZ2" s="36" t="s">
        <v>56</v>
      </c>
      <c r="BA2" s="30" t="s">
        <v>57</v>
      </c>
      <c r="BB2" s="30" t="s">
        <v>58</v>
      </c>
      <c r="BC2" s="30" t="s">
        <v>59</v>
      </c>
    </row>
    <row r="3" spans="1:55">
      <c r="A3" s="3" t="s">
        <v>60</v>
      </c>
      <c r="B3" s="51" t="s">
        <v>61</v>
      </c>
      <c r="C3" s="3" t="s">
        <v>62</v>
      </c>
      <c r="D3" s="57">
        <v>2400</v>
      </c>
      <c r="E3" s="3" t="s">
        <v>63</v>
      </c>
      <c r="F3" s="3" t="s">
        <v>64</v>
      </c>
      <c r="G3" s="3" t="s">
        <v>64</v>
      </c>
      <c r="H3" s="3" t="s">
        <v>65</v>
      </c>
      <c r="I3" s="50">
        <v>64765</v>
      </c>
      <c r="J3" s="49">
        <v>24757</v>
      </c>
      <c r="K3" s="3" t="s">
        <v>66</v>
      </c>
      <c r="L3" s="3" t="s">
        <v>67</v>
      </c>
      <c r="M3" s="3" t="s">
        <v>68</v>
      </c>
      <c r="N3" s="3" t="s">
        <v>69</v>
      </c>
      <c r="O3" s="7" t="s">
        <v>70</v>
      </c>
      <c r="P3" s="10" t="s">
        <v>71</v>
      </c>
      <c r="Q3" s="56">
        <v>64765</v>
      </c>
      <c r="R3" s="3" t="s">
        <v>72</v>
      </c>
      <c r="S3" s="3" t="s">
        <v>72</v>
      </c>
      <c r="T3" s="28" t="s">
        <v>73</v>
      </c>
      <c r="U3" s="3" t="s">
        <v>72</v>
      </c>
      <c r="V3" s="3" t="s">
        <v>72</v>
      </c>
      <c r="W3" s="3" t="s">
        <v>74</v>
      </c>
      <c r="X3" s="7"/>
      <c r="Y3" s="6"/>
      <c r="Z3" s="7"/>
      <c r="AA3" s="7"/>
      <c r="AB3" s="3"/>
      <c r="AC3" s="15" t="s">
        <v>75</v>
      </c>
      <c r="AD3" s="7" t="s">
        <v>76</v>
      </c>
      <c r="AE3" s="3"/>
      <c r="AF3" s="7">
        <v>10741</v>
      </c>
      <c r="AG3" s="3"/>
      <c r="AH3" s="58" t="s">
        <v>77</v>
      </c>
      <c r="AI3" s="51" t="s">
        <v>78</v>
      </c>
      <c r="AJ3" s="3"/>
      <c r="AK3" s="7" t="s">
        <v>79</v>
      </c>
      <c r="AL3" s="7" t="s">
        <v>80</v>
      </c>
      <c r="AM3" s="7" t="s">
        <v>81</v>
      </c>
      <c r="AN3" s="7" t="s">
        <v>81</v>
      </c>
      <c r="AO3" s="38" t="s">
        <v>82</v>
      </c>
      <c r="AP3" s="3" t="s">
        <v>83</v>
      </c>
      <c r="AQ3" s="3" t="s">
        <v>84</v>
      </c>
      <c r="AR3" s="3" t="s">
        <v>85</v>
      </c>
      <c r="AS3" s="7"/>
      <c r="AT3" s="3"/>
      <c r="AU3" s="3"/>
      <c r="AV3" s="3"/>
      <c r="AW3" s="3" t="s">
        <v>86</v>
      </c>
      <c r="AX3" s="3" t="s">
        <v>87</v>
      </c>
      <c r="AY3" s="3"/>
      <c r="AZ3" s="3"/>
      <c r="BA3" s="7"/>
      <c r="BB3" s="7"/>
      <c r="BC3" s="7" t="s">
        <v>88</v>
      </c>
    </row>
    <row r="4" spans="1:55">
      <c r="A4" s="3" t="s">
        <v>89</v>
      </c>
      <c r="B4" s="51" t="s">
        <v>90</v>
      </c>
      <c r="C4" s="3" t="s">
        <v>91</v>
      </c>
      <c r="D4" s="3">
        <v>2470</v>
      </c>
      <c r="E4" s="3" t="s">
        <v>92</v>
      </c>
      <c r="F4" s="3" t="s">
        <v>64</v>
      </c>
      <c r="G4" s="3" t="s">
        <v>64</v>
      </c>
      <c r="H4" s="3" t="s">
        <v>65</v>
      </c>
      <c r="I4" s="50">
        <v>64765</v>
      </c>
      <c r="J4" s="39">
        <v>24763</v>
      </c>
      <c r="K4" s="3" t="s">
        <v>66</v>
      </c>
      <c r="L4" s="3" t="s">
        <v>67</v>
      </c>
      <c r="M4" s="3" t="s">
        <v>93</v>
      </c>
      <c r="N4" s="3" t="s">
        <v>69</v>
      </c>
      <c r="O4" s="7" t="s">
        <v>94</v>
      </c>
      <c r="P4" s="10" t="s">
        <v>95</v>
      </c>
      <c r="Q4" s="4">
        <v>64765</v>
      </c>
      <c r="R4" s="3" t="s">
        <v>72</v>
      </c>
      <c r="S4" s="3" t="s">
        <v>72</v>
      </c>
      <c r="T4" s="28" t="s">
        <v>73</v>
      </c>
      <c r="U4" s="3" t="s">
        <v>72</v>
      </c>
      <c r="V4" s="3" t="s">
        <v>72</v>
      </c>
      <c r="W4" s="3" t="s">
        <v>74</v>
      </c>
      <c r="X4" s="7"/>
      <c r="Y4" s="6"/>
      <c r="Z4" s="7"/>
      <c r="AA4" s="7"/>
      <c r="AB4" s="3"/>
      <c r="AC4" s="15" t="s">
        <v>75</v>
      </c>
      <c r="AD4" s="7" t="s">
        <v>96</v>
      </c>
      <c r="AE4" s="3"/>
      <c r="AF4" s="7">
        <v>10742</v>
      </c>
      <c r="AG4" s="3"/>
      <c r="AH4" s="58" t="s">
        <v>97</v>
      </c>
      <c r="AI4" s="51" t="s">
        <v>98</v>
      </c>
      <c r="AJ4" s="3"/>
      <c r="AK4" s="7" t="s">
        <v>99</v>
      </c>
      <c r="AL4" s="7" t="s">
        <v>100</v>
      </c>
      <c r="AM4" s="7" t="s">
        <v>81</v>
      </c>
      <c r="AN4" s="7" t="s">
        <v>81</v>
      </c>
      <c r="AO4" s="38" t="s">
        <v>101</v>
      </c>
      <c r="AP4" s="3" t="s">
        <v>102</v>
      </c>
      <c r="AQ4" s="3" t="s">
        <v>103</v>
      </c>
      <c r="AR4" s="3" t="s">
        <v>104</v>
      </c>
      <c r="AS4" s="7"/>
      <c r="AT4" s="3"/>
      <c r="AU4" s="3"/>
      <c r="AV4" s="3"/>
      <c r="AW4" s="3" t="s">
        <v>86</v>
      </c>
      <c r="AX4" s="3" t="s">
        <v>87</v>
      </c>
      <c r="AY4" s="3"/>
      <c r="AZ4" s="3"/>
      <c r="BA4" s="7"/>
      <c r="BB4" s="7"/>
      <c r="BC4" s="7" t="s">
        <v>88</v>
      </c>
    </row>
    <row r="5" spans="1:55">
      <c r="A5" s="3" t="s">
        <v>105</v>
      </c>
      <c r="B5" s="51" t="s">
        <v>106</v>
      </c>
      <c r="C5" s="3" t="s">
        <v>107</v>
      </c>
      <c r="D5" s="3">
        <v>2600</v>
      </c>
      <c r="E5" s="3" t="s">
        <v>108</v>
      </c>
      <c r="F5" s="3" t="s">
        <v>64</v>
      </c>
      <c r="G5" s="3" t="s">
        <v>64</v>
      </c>
      <c r="H5" s="3" t="s">
        <v>65</v>
      </c>
      <c r="I5" s="50">
        <v>64765</v>
      </c>
      <c r="J5" s="49">
        <v>24762</v>
      </c>
      <c r="K5" s="3" t="s">
        <v>66</v>
      </c>
      <c r="L5" s="3" t="s">
        <v>67</v>
      </c>
      <c r="M5" s="3" t="s">
        <v>109</v>
      </c>
      <c r="N5" s="3" t="s">
        <v>69</v>
      </c>
      <c r="O5" s="7" t="s">
        <v>110</v>
      </c>
      <c r="P5" s="10" t="s">
        <v>111</v>
      </c>
      <c r="Q5" s="4">
        <v>64765</v>
      </c>
      <c r="R5" s="3" t="s">
        <v>72</v>
      </c>
      <c r="S5" s="3" t="s">
        <v>72</v>
      </c>
      <c r="T5" s="28" t="s">
        <v>73</v>
      </c>
      <c r="U5" s="3" t="s">
        <v>72</v>
      </c>
      <c r="V5" s="3" t="s">
        <v>72</v>
      </c>
      <c r="W5" s="3" t="s">
        <v>74</v>
      </c>
      <c r="X5" s="7"/>
      <c r="Y5" s="6"/>
      <c r="Z5" s="7"/>
      <c r="AA5" s="7"/>
      <c r="AB5" s="3"/>
      <c r="AC5" s="15" t="s">
        <v>75</v>
      </c>
      <c r="AD5" s="7" t="s">
        <v>112</v>
      </c>
      <c r="AE5" s="3"/>
      <c r="AF5" s="7">
        <v>10743</v>
      </c>
      <c r="AG5" s="3"/>
      <c r="AH5" s="58" t="s">
        <v>113</v>
      </c>
      <c r="AI5" s="51" t="s">
        <v>114</v>
      </c>
      <c r="AJ5" s="3"/>
      <c r="AK5" s="7" t="s">
        <v>115</v>
      </c>
      <c r="AL5" s="7" t="s">
        <v>116</v>
      </c>
      <c r="AM5" s="7" t="s">
        <v>81</v>
      </c>
      <c r="AN5" s="7" t="s">
        <v>81</v>
      </c>
      <c r="AO5" s="38" t="s">
        <v>117</v>
      </c>
      <c r="AP5" s="3" t="s">
        <v>118</v>
      </c>
      <c r="AQ5" s="3" t="s">
        <v>119</v>
      </c>
      <c r="AR5" s="3" t="s">
        <v>120</v>
      </c>
      <c r="AS5" s="7"/>
      <c r="AT5" s="3"/>
      <c r="AU5" s="3"/>
      <c r="AV5" s="3"/>
      <c r="AW5" s="3" t="s">
        <v>86</v>
      </c>
      <c r="AX5" s="3" t="s">
        <v>87</v>
      </c>
      <c r="AY5" s="3"/>
      <c r="AZ5" s="3"/>
      <c r="BA5" s="7"/>
      <c r="BB5" s="7"/>
      <c r="BC5" s="7" t="s">
        <v>88</v>
      </c>
    </row>
    <row r="6" spans="1:55">
      <c r="A6" s="3" t="s">
        <v>121</v>
      </c>
      <c r="B6" s="51" t="s">
        <v>122</v>
      </c>
      <c r="C6" s="3" t="s">
        <v>107</v>
      </c>
      <c r="D6" s="57">
        <v>2610</v>
      </c>
      <c r="E6" s="3" t="s">
        <v>123</v>
      </c>
      <c r="F6" s="3" t="s">
        <v>64</v>
      </c>
      <c r="G6" s="3" t="s">
        <v>64</v>
      </c>
      <c r="H6" s="3" t="s">
        <v>65</v>
      </c>
      <c r="I6" s="50">
        <v>64765</v>
      </c>
      <c r="J6" s="49">
        <v>24749</v>
      </c>
      <c r="K6" s="3" t="s">
        <v>66</v>
      </c>
      <c r="L6" s="3" t="s">
        <v>67</v>
      </c>
      <c r="M6" s="3" t="s">
        <v>124</v>
      </c>
      <c r="N6" s="3" t="s">
        <v>69</v>
      </c>
      <c r="O6" s="7" t="s">
        <v>125</v>
      </c>
      <c r="P6" s="10" t="s">
        <v>126</v>
      </c>
      <c r="Q6" s="4">
        <v>64765</v>
      </c>
      <c r="R6" s="3" t="s">
        <v>72</v>
      </c>
      <c r="S6" s="3" t="s">
        <v>72</v>
      </c>
      <c r="T6" s="28" t="s">
        <v>73</v>
      </c>
      <c r="U6" s="3" t="s">
        <v>72</v>
      </c>
      <c r="V6" s="3" t="s">
        <v>72</v>
      </c>
      <c r="W6" s="3" t="s">
        <v>74</v>
      </c>
      <c r="X6" s="7"/>
      <c r="Y6" s="6"/>
      <c r="Z6" s="7"/>
      <c r="AA6" s="7"/>
      <c r="AB6" s="3"/>
      <c r="AC6" s="15" t="s">
        <v>75</v>
      </c>
      <c r="AD6" s="7" t="s">
        <v>127</v>
      </c>
      <c r="AE6" s="3"/>
      <c r="AF6" s="7">
        <v>10744</v>
      </c>
      <c r="AG6" s="3"/>
      <c r="AH6" s="58" t="s">
        <v>128</v>
      </c>
      <c r="AI6" s="51" t="s">
        <v>129</v>
      </c>
      <c r="AJ6" s="3"/>
      <c r="AK6" s="7" t="s">
        <v>130</v>
      </c>
      <c r="AL6" s="7" t="s">
        <v>131</v>
      </c>
      <c r="AM6" s="7" t="s">
        <v>81</v>
      </c>
      <c r="AN6" s="7" t="s">
        <v>81</v>
      </c>
      <c r="AO6" s="38" t="s">
        <v>132</v>
      </c>
      <c r="AP6" s="3" t="s">
        <v>133</v>
      </c>
      <c r="AQ6" s="3" t="s">
        <v>134</v>
      </c>
      <c r="AR6" s="3" t="s">
        <v>135</v>
      </c>
      <c r="AS6" s="7"/>
      <c r="AT6" s="3"/>
      <c r="AU6" s="3"/>
      <c r="AV6" s="3"/>
      <c r="AW6" s="3" t="s">
        <v>86</v>
      </c>
      <c r="AX6" s="3" t="s">
        <v>87</v>
      </c>
      <c r="AY6" s="3"/>
      <c r="AZ6" s="3"/>
      <c r="BA6" s="7"/>
      <c r="BB6" s="7"/>
      <c r="BC6" s="7" t="s">
        <v>88</v>
      </c>
    </row>
    <row r="7" spans="1:55">
      <c r="A7" s="3" t="s">
        <v>136</v>
      </c>
      <c r="B7" s="51" t="s">
        <v>137</v>
      </c>
      <c r="C7" s="3" t="s">
        <v>138</v>
      </c>
      <c r="D7" s="3">
        <v>2550</v>
      </c>
      <c r="E7" s="3" t="s">
        <v>139</v>
      </c>
      <c r="F7" s="3" t="s">
        <v>64</v>
      </c>
      <c r="G7" s="3" t="s">
        <v>64</v>
      </c>
      <c r="H7" s="3" t="s">
        <v>65</v>
      </c>
      <c r="I7" s="50">
        <v>64765</v>
      </c>
      <c r="J7" s="49">
        <v>24748</v>
      </c>
      <c r="K7" s="3" t="s">
        <v>66</v>
      </c>
      <c r="L7" s="3" t="s">
        <v>67</v>
      </c>
      <c r="M7" s="3" t="s">
        <v>140</v>
      </c>
      <c r="N7" s="3" t="s">
        <v>69</v>
      </c>
      <c r="O7" s="7" t="s">
        <v>141</v>
      </c>
      <c r="P7" s="10" t="s">
        <v>142</v>
      </c>
      <c r="Q7" s="4">
        <v>64765</v>
      </c>
      <c r="R7" s="3" t="s">
        <v>72</v>
      </c>
      <c r="S7" s="3" t="s">
        <v>72</v>
      </c>
      <c r="T7" s="28" t="s">
        <v>73</v>
      </c>
      <c r="U7" s="3" t="s">
        <v>72</v>
      </c>
      <c r="V7" s="3" t="s">
        <v>72</v>
      </c>
      <c r="W7" s="3" t="s">
        <v>74</v>
      </c>
      <c r="X7" s="7"/>
      <c r="Y7" s="6"/>
      <c r="Z7" s="7"/>
      <c r="AA7" s="7"/>
      <c r="AB7" s="3"/>
      <c r="AC7" s="15" t="s">
        <v>75</v>
      </c>
      <c r="AD7" s="7" t="s">
        <v>143</v>
      </c>
      <c r="AE7" s="3"/>
      <c r="AF7" s="7">
        <v>10745</v>
      </c>
      <c r="AG7" s="3"/>
      <c r="AH7" s="58" t="s">
        <v>144</v>
      </c>
      <c r="AI7" s="51" t="s">
        <v>145</v>
      </c>
      <c r="AJ7" s="3"/>
      <c r="AK7" s="7" t="s">
        <v>146</v>
      </c>
      <c r="AL7" s="7" t="s">
        <v>147</v>
      </c>
      <c r="AM7" s="7" t="s">
        <v>81</v>
      </c>
      <c r="AN7" s="7" t="s">
        <v>81</v>
      </c>
      <c r="AO7" s="38" t="s">
        <v>148</v>
      </c>
      <c r="AP7" s="3" t="s">
        <v>149</v>
      </c>
      <c r="AQ7" s="3" t="s">
        <v>150</v>
      </c>
      <c r="AR7" s="3" t="s">
        <v>151</v>
      </c>
      <c r="AS7" s="7"/>
      <c r="AT7" s="3"/>
      <c r="AU7" s="3"/>
      <c r="AV7" s="3"/>
      <c r="AW7" s="3" t="s">
        <v>86</v>
      </c>
      <c r="AX7" s="3" t="s">
        <v>87</v>
      </c>
      <c r="AY7" s="3"/>
      <c r="AZ7" s="3"/>
      <c r="BA7" s="7"/>
      <c r="BB7" s="7"/>
      <c r="BC7" s="7" t="s">
        <v>88</v>
      </c>
    </row>
    <row r="8" spans="1:55">
      <c r="A8" s="3" t="s">
        <v>152</v>
      </c>
      <c r="B8" s="51" t="s">
        <v>153</v>
      </c>
      <c r="C8" s="3" t="s">
        <v>154</v>
      </c>
      <c r="D8" s="57">
        <v>2620</v>
      </c>
      <c r="E8" s="3" t="s">
        <v>155</v>
      </c>
      <c r="F8" s="3" t="s">
        <v>64</v>
      </c>
      <c r="G8" s="3" t="s">
        <v>64</v>
      </c>
      <c r="H8" s="3" t="s">
        <v>65</v>
      </c>
      <c r="I8" s="50">
        <v>64765</v>
      </c>
      <c r="J8" s="49">
        <v>24678</v>
      </c>
      <c r="K8" s="3" t="s">
        <v>66</v>
      </c>
      <c r="L8" s="3" t="s">
        <v>67</v>
      </c>
      <c r="M8" s="3" t="s">
        <v>156</v>
      </c>
      <c r="N8" s="3" t="s">
        <v>69</v>
      </c>
      <c r="O8" s="7" t="s">
        <v>157</v>
      </c>
      <c r="P8" s="10" t="s">
        <v>158</v>
      </c>
      <c r="Q8" s="4">
        <v>64765</v>
      </c>
      <c r="R8" s="3" t="s">
        <v>72</v>
      </c>
      <c r="S8" s="3" t="s">
        <v>72</v>
      </c>
      <c r="T8" s="28" t="s">
        <v>73</v>
      </c>
      <c r="U8" s="3" t="s">
        <v>72</v>
      </c>
      <c r="V8" s="3" t="s">
        <v>72</v>
      </c>
      <c r="W8" s="3" t="s">
        <v>74</v>
      </c>
      <c r="X8" s="7"/>
      <c r="Y8" s="6"/>
      <c r="Z8" s="7"/>
      <c r="AA8" s="7"/>
      <c r="AB8" s="3"/>
      <c r="AC8" s="15" t="s">
        <v>75</v>
      </c>
      <c r="AD8" s="7" t="s">
        <v>159</v>
      </c>
      <c r="AE8" s="3"/>
      <c r="AF8" s="7">
        <v>10746</v>
      </c>
      <c r="AG8" s="3"/>
      <c r="AH8" s="58" t="s">
        <v>160</v>
      </c>
      <c r="AI8" s="51" t="s">
        <v>161</v>
      </c>
      <c r="AJ8" s="3"/>
      <c r="AK8" s="7" t="s">
        <v>162</v>
      </c>
      <c r="AL8" s="7" t="s">
        <v>163</v>
      </c>
      <c r="AM8" s="7" t="s">
        <v>81</v>
      </c>
      <c r="AN8" s="7" t="s">
        <v>81</v>
      </c>
      <c r="AO8" s="38" t="s">
        <v>164</v>
      </c>
      <c r="AP8" s="3" t="s">
        <v>165</v>
      </c>
      <c r="AQ8" s="3" t="s">
        <v>166</v>
      </c>
      <c r="AR8" s="3" t="s">
        <v>167</v>
      </c>
      <c r="AS8" s="7"/>
      <c r="AT8" s="3"/>
      <c r="AU8" s="3"/>
      <c r="AV8" s="3"/>
      <c r="AW8" s="3" t="s">
        <v>86</v>
      </c>
      <c r="AX8" s="3" t="s">
        <v>87</v>
      </c>
      <c r="AY8" s="3"/>
      <c r="AZ8" s="3"/>
      <c r="BA8" s="7"/>
      <c r="BB8" s="7"/>
      <c r="BC8" s="7" t="s">
        <v>88</v>
      </c>
    </row>
    <row r="9" spans="1:55">
      <c r="A9" s="3" t="s">
        <v>168</v>
      </c>
      <c r="B9" s="51" t="s">
        <v>169</v>
      </c>
      <c r="C9" s="3" t="s">
        <v>154</v>
      </c>
      <c r="D9" s="57">
        <v>2540</v>
      </c>
      <c r="E9" s="3" t="s">
        <v>170</v>
      </c>
      <c r="F9" s="3" t="s">
        <v>64</v>
      </c>
      <c r="G9" s="3" t="s">
        <v>64</v>
      </c>
      <c r="H9" s="3" t="s">
        <v>171</v>
      </c>
      <c r="I9" s="50">
        <v>27676</v>
      </c>
      <c r="J9" s="49">
        <v>24681</v>
      </c>
      <c r="K9" s="3" t="s">
        <v>66</v>
      </c>
      <c r="L9" s="3" t="s">
        <v>67</v>
      </c>
      <c r="M9" s="3" t="s">
        <v>172</v>
      </c>
      <c r="N9" s="3" t="s">
        <v>69</v>
      </c>
      <c r="O9" s="7" t="s">
        <v>173</v>
      </c>
      <c r="P9" s="3"/>
      <c r="Q9" s="4">
        <f>16176+11500</f>
        <v>27676</v>
      </c>
      <c r="R9" s="3" t="s">
        <v>72</v>
      </c>
      <c r="S9" s="3" t="s">
        <v>72</v>
      </c>
      <c r="T9" s="28" t="s">
        <v>73</v>
      </c>
      <c r="U9" s="3" t="s">
        <v>72</v>
      </c>
      <c r="V9" s="3" t="s">
        <v>72</v>
      </c>
      <c r="W9" s="3" t="s">
        <v>74</v>
      </c>
      <c r="X9" s="7"/>
      <c r="Y9" s="6"/>
      <c r="Z9" s="7"/>
      <c r="AA9" s="7"/>
      <c r="AB9" s="3"/>
      <c r="AC9" s="15" t="s">
        <v>75</v>
      </c>
      <c r="AD9" s="7"/>
      <c r="AE9" s="3"/>
      <c r="AF9" s="7">
        <v>10747</v>
      </c>
      <c r="AG9" s="3"/>
      <c r="AH9" s="58" t="s">
        <v>174</v>
      </c>
      <c r="AI9" s="51" t="s">
        <v>175</v>
      </c>
      <c r="AJ9" s="3"/>
      <c r="AK9" s="7" t="s">
        <v>176</v>
      </c>
      <c r="AL9" s="7" t="s">
        <v>177</v>
      </c>
      <c r="AM9" s="7" t="s">
        <v>81</v>
      </c>
      <c r="AN9" s="7" t="s">
        <v>81</v>
      </c>
      <c r="AO9" s="3" t="s">
        <v>69</v>
      </c>
      <c r="AP9" s="3" t="s">
        <v>178</v>
      </c>
      <c r="AQ9" s="3" t="s">
        <v>179</v>
      </c>
      <c r="AR9" s="3" t="s">
        <v>180</v>
      </c>
      <c r="AS9" s="7"/>
      <c r="AT9" s="3"/>
      <c r="AU9" s="3"/>
      <c r="AV9" s="3"/>
      <c r="AW9" s="3" t="s">
        <v>86</v>
      </c>
      <c r="AX9" s="3" t="s">
        <v>87</v>
      </c>
      <c r="AY9" s="3"/>
      <c r="AZ9" s="3"/>
      <c r="BA9" s="7"/>
      <c r="BB9" s="7"/>
      <c r="BC9" s="7" t="s">
        <v>88</v>
      </c>
    </row>
    <row r="10" spans="1:55">
      <c r="A10" s="3" t="s">
        <v>181</v>
      </c>
      <c r="B10" s="51" t="s">
        <v>182</v>
      </c>
      <c r="C10" s="3" t="s">
        <v>154</v>
      </c>
      <c r="D10" s="57">
        <v>2560</v>
      </c>
      <c r="E10" s="3" t="s">
        <v>183</v>
      </c>
      <c r="F10" s="3" t="s">
        <v>64</v>
      </c>
      <c r="G10" s="3" t="s">
        <v>64</v>
      </c>
      <c r="H10" s="3" t="s">
        <v>171</v>
      </c>
      <c r="I10" s="50">
        <v>27676</v>
      </c>
      <c r="J10" s="49">
        <v>24706</v>
      </c>
      <c r="K10" s="3" t="s">
        <v>66</v>
      </c>
      <c r="L10" s="3" t="s">
        <v>67</v>
      </c>
      <c r="M10" s="3" t="s">
        <v>184</v>
      </c>
      <c r="N10" s="3" t="s">
        <v>69</v>
      </c>
      <c r="O10" s="7" t="s">
        <v>185</v>
      </c>
      <c r="P10" s="3"/>
      <c r="Q10" s="4">
        <f>16176+11500</f>
        <v>27676</v>
      </c>
      <c r="R10" s="3" t="s">
        <v>72</v>
      </c>
      <c r="S10" s="3" t="s">
        <v>72</v>
      </c>
      <c r="T10" s="28" t="s">
        <v>73</v>
      </c>
      <c r="U10" s="3" t="s">
        <v>72</v>
      </c>
      <c r="V10" s="3" t="s">
        <v>72</v>
      </c>
      <c r="W10" s="3" t="s">
        <v>74</v>
      </c>
      <c r="X10" s="7"/>
      <c r="Y10" s="6"/>
      <c r="Z10" s="7"/>
      <c r="AA10" s="7"/>
      <c r="AB10" s="3"/>
      <c r="AC10" s="15" t="s">
        <v>75</v>
      </c>
      <c r="AD10" s="7"/>
      <c r="AE10" s="3"/>
      <c r="AF10" s="7">
        <v>10748</v>
      </c>
      <c r="AG10" s="3"/>
      <c r="AH10" s="58" t="s">
        <v>186</v>
      </c>
      <c r="AI10" s="51" t="s">
        <v>187</v>
      </c>
      <c r="AJ10" s="3"/>
      <c r="AK10" s="7" t="s">
        <v>188</v>
      </c>
      <c r="AL10" s="7" t="s">
        <v>189</v>
      </c>
      <c r="AM10" s="7" t="s">
        <v>81</v>
      </c>
      <c r="AN10" s="7" t="s">
        <v>81</v>
      </c>
      <c r="AO10" s="3" t="s">
        <v>69</v>
      </c>
      <c r="AP10" s="3" t="s">
        <v>190</v>
      </c>
      <c r="AQ10" s="3" t="s">
        <v>191</v>
      </c>
      <c r="AR10" s="3" t="s">
        <v>192</v>
      </c>
      <c r="AS10" s="7"/>
      <c r="AT10" s="3"/>
      <c r="AU10" s="3"/>
      <c r="AV10" s="3"/>
      <c r="AW10" s="3" t="s">
        <v>86</v>
      </c>
      <c r="AX10" s="3" t="s">
        <v>87</v>
      </c>
      <c r="AY10" s="3"/>
      <c r="AZ10" s="3"/>
      <c r="BA10" s="7"/>
      <c r="BB10" s="7"/>
      <c r="BC10" s="7" t="s">
        <v>88</v>
      </c>
    </row>
    <row r="11" spans="1:55">
      <c r="R11" s="68" t="s">
        <v>193</v>
      </c>
      <c r="S11" s="68"/>
      <c r="T11" s="68"/>
      <c r="U11" s="68"/>
      <c r="V11" s="68"/>
      <c r="W11" s="68"/>
      <c r="Y11" s="10" t="s">
        <v>32</v>
      </c>
      <c r="Z11" s="10" t="s">
        <v>194</v>
      </c>
      <c r="AA11" s="10" t="s">
        <v>34</v>
      </c>
      <c r="AG11" s="10" t="s">
        <v>40</v>
      </c>
      <c r="AH11" s="10" t="s">
        <v>195</v>
      </c>
      <c r="AI11" s="10" t="s">
        <v>196</v>
      </c>
      <c r="AJ11" s="3"/>
      <c r="AK11" s="72" t="s">
        <v>197</v>
      </c>
      <c r="AL11" s="73"/>
      <c r="AM11" s="10" t="s">
        <v>46</v>
      </c>
      <c r="AN11" s="10" t="s">
        <v>47</v>
      </c>
      <c r="AO11" s="10" t="s">
        <v>48</v>
      </c>
      <c r="AT11" s="10" t="s">
        <v>53</v>
      </c>
      <c r="AU11" s="10" t="s">
        <v>49</v>
      </c>
      <c r="AV11" s="10" t="s">
        <v>51</v>
      </c>
    </row>
    <row r="13" spans="1:55">
      <c r="A13" s="3" t="s">
        <v>198</v>
      </c>
      <c r="B13" s="3"/>
      <c r="C13" s="3"/>
      <c r="D13" s="3"/>
      <c r="E13" s="3"/>
      <c r="L13" s="1"/>
    </row>
    <row r="14" spans="1:55">
      <c r="A14" s="3" t="s">
        <v>9</v>
      </c>
      <c r="B14" s="3" t="s">
        <v>15</v>
      </c>
      <c r="C14" s="3" t="s">
        <v>16</v>
      </c>
      <c r="D14" s="3" t="s">
        <v>13</v>
      </c>
      <c r="E14" s="3" t="s">
        <v>39</v>
      </c>
    </row>
    <row r="15" spans="1:55">
      <c r="A15" s="3" t="s">
        <v>60</v>
      </c>
      <c r="B15" s="3" t="s">
        <v>199</v>
      </c>
      <c r="C15" s="3" t="s">
        <v>200</v>
      </c>
      <c r="D15" s="3" t="s">
        <v>201</v>
      </c>
      <c r="E15" s="7">
        <v>10741</v>
      </c>
    </row>
    <row r="16" spans="1:55">
      <c r="A16" s="3" t="s">
        <v>89</v>
      </c>
      <c r="B16" s="3" t="s">
        <v>199</v>
      </c>
      <c r="C16" s="3" t="s">
        <v>200</v>
      </c>
      <c r="D16" s="3" t="s">
        <v>202</v>
      </c>
      <c r="E16" s="7">
        <v>10742</v>
      </c>
    </row>
    <row r="17" spans="1:5">
      <c r="A17" s="3" t="s">
        <v>105</v>
      </c>
      <c r="B17" s="3" t="s">
        <v>199</v>
      </c>
      <c r="C17" s="3" t="s">
        <v>200</v>
      </c>
      <c r="D17" s="3" t="s">
        <v>203</v>
      </c>
      <c r="E17" s="7">
        <v>10743</v>
      </c>
    </row>
    <row r="18" spans="1:5">
      <c r="A18" s="3" t="s">
        <v>204</v>
      </c>
      <c r="B18" s="3" t="s">
        <v>199</v>
      </c>
      <c r="C18" s="3" t="s">
        <v>200</v>
      </c>
      <c r="D18" s="3" t="s">
        <v>205</v>
      </c>
      <c r="E18" s="7">
        <v>10744</v>
      </c>
    </row>
    <row r="19" spans="1:5">
      <c r="A19" s="3" t="s">
        <v>206</v>
      </c>
      <c r="B19" s="3" t="s">
        <v>199</v>
      </c>
      <c r="C19" s="3" t="s">
        <v>207</v>
      </c>
      <c r="D19" s="3" t="s">
        <v>208</v>
      </c>
      <c r="E19" s="7">
        <v>10749</v>
      </c>
    </row>
    <row r="20" spans="1:5">
      <c r="A20" s="3" t="s">
        <v>136</v>
      </c>
      <c r="B20" s="3" t="s">
        <v>199</v>
      </c>
      <c r="C20" s="3" t="s">
        <v>209</v>
      </c>
      <c r="D20" s="3" t="s">
        <v>210</v>
      </c>
      <c r="E20" s="7">
        <v>10745</v>
      </c>
    </row>
    <row r="21" spans="1:5">
      <c r="A21" s="3" t="s">
        <v>152</v>
      </c>
      <c r="B21" s="3" t="s">
        <v>199</v>
      </c>
      <c r="C21" s="3" t="s">
        <v>211</v>
      </c>
      <c r="D21" s="3" t="s">
        <v>212</v>
      </c>
      <c r="E21" s="7">
        <v>10746</v>
      </c>
    </row>
    <row r="22" spans="1:5">
      <c r="A22" s="3" t="s">
        <v>168</v>
      </c>
      <c r="B22" s="3" t="s">
        <v>199</v>
      </c>
      <c r="C22" s="3" t="s">
        <v>213</v>
      </c>
      <c r="D22" s="3" t="s">
        <v>214</v>
      </c>
      <c r="E22" s="7">
        <v>10747</v>
      </c>
    </row>
    <row r="23" spans="1:5">
      <c r="A23" s="3" t="s">
        <v>181</v>
      </c>
      <c r="B23" s="3" t="s">
        <v>199</v>
      </c>
      <c r="C23" s="3" t="s">
        <v>213</v>
      </c>
      <c r="D23" s="3" t="s">
        <v>215</v>
      </c>
      <c r="E23" s="7">
        <v>10748</v>
      </c>
    </row>
    <row r="24" spans="1:5">
      <c r="A24" s="3" t="s">
        <v>216</v>
      </c>
      <c r="B24" s="3" t="s">
        <v>217</v>
      </c>
      <c r="C24" s="3" t="s">
        <v>218</v>
      </c>
      <c r="D24" s="14">
        <v>250556</v>
      </c>
      <c r="E24" s="7">
        <v>10750</v>
      </c>
    </row>
  </sheetData>
  <mergeCells count="11">
    <mergeCell ref="AP1:AR1"/>
    <mergeCell ref="AS1:AV1"/>
    <mergeCell ref="AX1:AZ1"/>
    <mergeCell ref="BA1:BC1"/>
    <mergeCell ref="R11:W11"/>
    <mergeCell ref="AG1:AL1"/>
    <mergeCell ref="AK11:AL11"/>
    <mergeCell ref="R1:W1"/>
    <mergeCell ref="AC1:AF1"/>
    <mergeCell ref="Y1:AA1"/>
    <mergeCell ref="AM1:AO1"/>
  </mergeCells>
  <phoneticPr fontId="1" type="noConversion"/>
  <hyperlinks>
    <hyperlink ref="R11" r:id="rId1" display="https://jabil-my.sharepoint.com/:f:/r/personal/luis_bustillos_jabil_com/Documents/JDES/GECKO/Documentacion/Tareas%20de%20mantenimiento?csf=1&amp;web=1&amp;e=Skq3ex" xr:uid="{812059EB-5158-42E6-8116-71D1CC972652}"/>
    <hyperlink ref="R11:W11" r:id="rId2" display="Tareas de mantenimiento" xr:uid="{3307096D-82F4-42B2-A18F-D6BB552DA5F2}"/>
    <hyperlink ref="AG11" r:id="rId3" display="../../../../../:f:/r/personal/luis_bustillos_jabil_com/Documents/JDES/GECKO/Documentacion/String gage?csf=1&amp;web=1&amp;e=617eVe" xr:uid="{F8F4BD1A-5B5A-4E6B-AE84-F2C7D15E41FA}"/>
    <hyperlink ref="AI11" r:id="rId4" display="../../../../../:f:/r/personal/luis_bustillos_jabil_com/Documents/JDES/GECKO/Documentacion/Hojas de parametro?csf=1&amp;web=1&amp;e=yrA0YU" xr:uid="{5EB4DCB2-9D93-4996-9BC2-486BB9E44367}"/>
    <hyperlink ref="AH11" r:id="rId5" display="../../../../../:f:/r/personal/luis_bustillos_jabil_com/Documents/JDES/GECKO/Documentacion/Ayudas Visuales?csf=1&amp;web=1&amp;e=dCHMzW" xr:uid="{FB4C6486-CECA-440A-8236-B99E150B4C22}"/>
    <hyperlink ref="AO11" r:id="rId6" display="../../../../../:f:/r/personal/luis_bustillos_jabil_com/Documents/JDES/GECKO/Validaciones/CMK?csf=1&amp;web=1&amp;e=UbzNmu" xr:uid="{3EB130FD-54CD-4400-818C-0EBD1F11FC7E}"/>
    <hyperlink ref="AM11" r:id="rId7" display="../../../../../:f:/r/personal/luis_bustillos_jabil_com/Documents/JDES/GECKO/Validaciones/Cpk?csf=1&amp;web=1&amp;e=PPTqWT" xr:uid="{5458D2B0-B8D2-4789-A25E-08610BFB5FB1}"/>
    <hyperlink ref="AN11" r:id="rId8" display="../../../../../:f:/r/personal/luis_bustillos_jabil_com/Documents/JDES/GECKO/Validaciones/GRR?csf=1&amp;web=1&amp;e=wRcMbt" xr:uid="{24AB5205-12BD-4184-9E6E-4A13B85E6B77}"/>
    <hyperlink ref="AK11" r:id="rId9" display="../../../../../:f:/r/personal/luis_bustillos_jabil_com/Documents/JDES/GECKO/Documentacion/Seguridad?csf=1&amp;web=1&amp;e=dzZOop" xr:uid="{0BD65B15-6A7D-475D-8730-1B2CE8AAFE08}"/>
    <hyperlink ref="AT11" r:id="rId10" display="../../../../../:f:/r/personal/luis_bustillos_jabil_com/Documents/JDES/GECKO/Back up/Acura?csf=1&amp;web=1&amp;e=L6d75U" xr:uid="{25482A66-FFEA-4CF8-A14F-6BA98AD6670C}"/>
    <hyperlink ref="AV11" r:id="rId11" display="../../../../../:f:/r/personal/luis_bustillos_jabil_com/Documents/JDES/GECKO/Back up/Atornillador?csf=1&amp;web=1&amp;e=h7lUaS" xr:uid="{CF7E8079-7F74-48E6-B8B3-D244FCDEE66F}"/>
    <hyperlink ref="AU11" r:id="rId12" display="../../../../../:f:/r/personal/luis_bustillos_jabil_com/Documents/JDES/GECKO/Back up/Camara?csf=1&amp;web=1&amp;e=bJ2HG0" xr:uid="{F4EE3B5A-A3F1-4D0F-A77B-0D3CF2228417}"/>
    <hyperlink ref="AA11" r:id="rId13" display="../../../../../:f:/r/personal/luis_bustillos_jabil_com/Documents/JDES/GECKO/Documentacion Externa/Diagramas electricos?csf=1&amp;web=1&amp;e=Z7BcSO" xr:uid="{3FB85AA2-B87D-4097-8FED-8CB175091E76}"/>
    <hyperlink ref="Z11" r:id="rId14" display="../../../../../:f:/r/personal/luis_bustillos_jabil_com/Documents/JDES/GECKO/Documentacion Externa/Manual de operacion?csf=1&amp;web=1&amp;e=LYhGtY" xr:uid="{89675D5A-8959-4660-BEE7-9226BF7BB1EC}"/>
    <hyperlink ref="Y11" r:id="rId15" display="../../../../../:f:/r/personal/luis_bustillos_jabil_com/Documents/JDES/GECKO/Documentacion Externa/Spear parts?csf=1&amp;web=1&amp;e=V8hI6f" xr:uid="{AE996222-00A8-4DE1-864B-1099E44D3EA2}"/>
    <hyperlink ref="P4" r:id="rId16" xr:uid="{BC3926D6-99B7-43C0-A06F-144006DE8E81}"/>
    <hyperlink ref="P3" r:id="rId17" xr:uid="{C45F0DAE-5BED-46C9-A2E6-8545A4E80C4C}"/>
    <hyperlink ref="P5" r:id="rId18" xr:uid="{CE02802A-08D1-4CE7-9C6C-989884B37F4E}"/>
    <hyperlink ref="AO3" r:id="rId19" xr:uid="{FB9834E1-865A-4864-AABB-04B91F0CB940}"/>
    <hyperlink ref="AO4" r:id="rId20" xr:uid="{B61E8BE7-AD95-45E8-BDBB-048765BB2BCA}"/>
    <hyperlink ref="AO5" r:id="rId21" xr:uid="{02CF1D31-0A24-4CE4-B4D3-486B3666735C}"/>
    <hyperlink ref="AO6" r:id="rId22" xr:uid="{5618C9C4-98A8-4309-BC80-D9F18C598D58}"/>
    <hyperlink ref="AO7" r:id="rId23" xr:uid="{4CD508DB-8086-48B3-B5CA-D001D9D97373}"/>
    <hyperlink ref="AO8" r:id="rId24" xr:uid="{A40D6710-DED9-4861-BDCD-DE1C7F315012}"/>
    <hyperlink ref="P6" r:id="rId25" xr:uid="{A3D72078-C69F-4E62-9FDD-DB15C5AD2B01}"/>
    <hyperlink ref="P7" r:id="rId26" xr:uid="{3206F94B-ECBB-4C6B-A4A7-224F5587F64A}"/>
    <hyperlink ref="P8" r:id="rId27" xr:uid="{8E52096B-D301-4B4E-8277-23FDBC10ABF3}"/>
  </hyperlinks>
  <pageMargins left="0.7" right="0.7" top="0.75" bottom="0.75" header="0.3" footer="0.3"/>
  <pageSetup orientation="portrait" r:id="rId28"/>
  <legacyDrawing r:id="rId2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631D1-1D8F-42C8-89F2-477B91CCCBAD}">
  <dimension ref="A2:C11"/>
  <sheetViews>
    <sheetView workbookViewId="0">
      <selection activeCell="D5" sqref="D5"/>
    </sheetView>
  </sheetViews>
  <sheetFormatPr defaultRowHeight="15"/>
  <cols>
    <col min="1" max="1" width="9.140625" style="42"/>
    <col min="2" max="2" width="21.5703125" style="54" bestFit="1" customWidth="1"/>
    <col min="3" max="3" width="36.7109375" style="44" customWidth="1"/>
  </cols>
  <sheetData>
    <row r="2" spans="1:3">
      <c r="A2" s="46" t="s">
        <v>9</v>
      </c>
      <c r="B2" s="52" t="s">
        <v>10</v>
      </c>
      <c r="C2" s="43" t="s">
        <v>219</v>
      </c>
    </row>
    <row r="3" spans="1:3" ht="108.75" customHeight="1">
      <c r="A3" s="43" t="s">
        <v>60</v>
      </c>
      <c r="B3" s="53" t="s">
        <v>61</v>
      </c>
      <c r="C3" s="39" t="e" vm="1">
        <v>#VALUE!</v>
      </c>
    </row>
    <row r="4" spans="1:3" ht="108.75" customHeight="1">
      <c r="A4" s="43" t="s">
        <v>89</v>
      </c>
      <c r="B4" s="53" t="s">
        <v>90</v>
      </c>
      <c r="C4" s="39" t="e" vm="2">
        <v>#VALUE!</v>
      </c>
    </row>
    <row r="5" spans="1:3" ht="108.75" customHeight="1">
      <c r="A5" s="43" t="s">
        <v>105</v>
      </c>
      <c r="B5" s="53" t="s">
        <v>106</v>
      </c>
      <c r="C5" s="39" t="e" vm="3">
        <v>#VALUE!</v>
      </c>
    </row>
    <row r="6" spans="1:3" ht="108.75" customHeight="1">
      <c r="A6" s="43" t="s">
        <v>204</v>
      </c>
      <c r="B6" s="53" t="s">
        <v>122</v>
      </c>
      <c r="C6" s="39" t="e" vm="4">
        <v>#VALUE!</v>
      </c>
    </row>
    <row r="7" spans="1:3" ht="108.75" customHeight="1">
      <c r="A7" s="43" t="s">
        <v>206</v>
      </c>
      <c r="B7" s="53" t="s">
        <v>122</v>
      </c>
      <c r="C7" s="39" t="e" vm="5">
        <v>#VALUE!</v>
      </c>
    </row>
    <row r="8" spans="1:3" ht="108.75" customHeight="1">
      <c r="A8" s="43" t="s">
        <v>136</v>
      </c>
      <c r="B8" s="53" t="s">
        <v>137</v>
      </c>
      <c r="C8" s="39" t="e" vm="6">
        <v>#VALUE!</v>
      </c>
    </row>
    <row r="9" spans="1:3" ht="108.75" customHeight="1">
      <c r="A9" s="43" t="s">
        <v>152</v>
      </c>
      <c r="B9" s="53" t="s">
        <v>153</v>
      </c>
      <c r="C9" s="39" t="e" vm="7">
        <v>#VALUE!</v>
      </c>
    </row>
    <row r="10" spans="1:3" ht="108.75" customHeight="1">
      <c r="A10" s="43" t="s">
        <v>168</v>
      </c>
      <c r="B10" s="53" t="s">
        <v>169</v>
      </c>
      <c r="C10" s="39" t="e" vm="8">
        <v>#VALUE!</v>
      </c>
    </row>
    <row r="11" spans="1:3" ht="108.75" customHeight="1">
      <c r="A11" s="43" t="s">
        <v>181</v>
      </c>
      <c r="B11" s="53" t="s">
        <v>182</v>
      </c>
      <c r="C11" s="39" t="e" vm="9">
        <v>#VALUE!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7FB4A-0645-4ED2-8944-D3ED467453BC}">
  <dimension ref="B4:F18"/>
  <sheetViews>
    <sheetView workbookViewId="0">
      <selection activeCell="E10" sqref="E10"/>
    </sheetView>
  </sheetViews>
  <sheetFormatPr defaultRowHeight="15"/>
  <cols>
    <col min="2" max="2" width="21.5703125" bestFit="1" customWidth="1"/>
    <col min="4" max="4" width="21.28515625" customWidth="1"/>
    <col min="6" max="6" width="18.28515625" bestFit="1" customWidth="1"/>
  </cols>
  <sheetData>
    <row r="4" spans="2:6" ht="45">
      <c r="B4" s="25" t="s">
        <v>220</v>
      </c>
      <c r="D4" s="40" t="s">
        <v>221</v>
      </c>
      <c r="F4" s="40" t="s">
        <v>222</v>
      </c>
    </row>
    <row r="5" spans="2:6" ht="45">
      <c r="B5" s="25" t="s">
        <v>223</v>
      </c>
      <c r="F5" s="25" t="s">
        <v>224</v>
      </c>
    </row>
    <row r="6" spans="2:6" ht="30">
      <c r="B6" s="25" t="s">
        <v>225</v>
      </c>
    </row>
    <row r="9" spans="2:6" ht="60">
      <c r="B9" s="40" t="s">
        <v>226</v>
      </c>
    </row>
    <row r="10" spans="2:6" ht="30">
      <c r="B10" s="40" t="s">
        <v>227</v>
      </c>
    </row>
    <row r="13" spans="2:6" ht="45">
      <c r="B13" s="25" t="s">
        <v>228</v>
      </c>
    </row>
    <row r="14" spans="2:6">
      <c r="B14" s="3" t="s">
        <v>229</v>
      </c>
    </row>
    <row r="15" spans="2:6">
      <c r="B15" s="3" t="s">
        <v>230</v>
      </c>
    </row>
    <row r="16" spans="2:6" ht="30">
      <c r="B16" s="25" t="s">
        <v>231</v>
      </c>
    </row>
    <row r="17" spans="2:2" ht="30">
      <c r="B17" s="25" t="s">
        <v>232</v>
      </c>
    </row>
    <row r="18" spans="2:2">
      <c r="B18" s="3" t="s">
        <v>233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48499-DAD9-497C-BFC1-1B145B61E566}">
  <dimension ref="A2:V10"/>
  <sheetViews>
    <sheetView workbookViewId="0">
      <selection activeCell="F4" sqref="F4"/>
    </sheetView>
  </sheetViews>
  <sheetFormatPr defaultRowHeight="15"/>
  <cols>
    <col min="1" max="1" width="9.140625" style="42"/>
    <col min="2" max="2" width="18.5703125" style="44" bestFit="1" customWidth="1"/>
    <col min="3" max="3" width="18.5703125" style="44" customWidth="1"/>
    <col min="4" max="5" width="29.42578125" style="47" customWidth="1"/>
    <col min="6" max="22" width="44.28515625" customWidth="1"/>
  </cols>
  <sheetData>
    <row r="2" spans="1:22" s="41" customFormat="1">
      <c r="A2" s="43" t="s">
        <v>234</v>
      </c>
      <c r="B2" s="43" t="s">
        <v>235</v>
      </c>
      <c r="C2" s="43" t="s">
        <v>11</v>
      </c>
      <c r="D2" s="46" t="s">
        <v>236</v>
      </c>
      <c r="E2" s="46" t="s">
        <v>237</v>
      </c>
      <c r="F2" s="13" t="s">
        <v>238</v>
      </c>
      <c r="G2" s="13" t="s">
        <v>239</v>
      </c>
      <c r="H2" s="13" t="s">
        <v>240</v>
      </c>
      <c r="I2" s="13" t="s">
        <v>241</v>
      </c>
      <c r="J2" s="13" t="s">
        <v>242</v>
      </c>
      <c r="K2" s="13" t="s">
        <v>243</v>
      </c>
      <c r="L2" s="13" t="s">
        <v>244</v>
      </c>
      <c r="M2" s="13" t="s">
        <v>245</v>
      </c>
      <c r="N2" s="13" t="s">
        <v>246</v>
      </c>
      <c r="O2" s="13" t="s">
        <v>247</v>
      </c>
      <c r="P2" s="13" t="s">
        <v>248</v>
      </c>
      <c r="Q2" s="13" t="s">
        <v>249</v>
      </c>
      <c r="R2" s="13" t="s">
        <v>250</v>
      </c>
      <c r="S2" s="13" t="s">
        <v>251</v>
      </c>
      <c r="T2" s="13" t="s">
        <v>252</v>
      </c>
      <c r="U2" s="13" t="s">
        <v>253</v>
      </c>
      <c r="V2" s="13" t="s">
        <v>254</v>
      </c>
    </row>
    <row r="3" spans="1:22" s="47" customFormat="1" ht="168" customHeight="1">
      <c r="A3" s="46" t="s">
        <v>60</v>
      </c>
      <c r="B3" s="45" t="s">
        <v>77</v>
      </c>
      <c r="C3" s="45" t="s">
        <v>62</v>
      </c>
      <c r="D3" s="45" t="s">
        <v>255</v>
      </c>
      <c r="E3" s="45"/>
      <c r="F3" s="45" t="s">
        <v>256</v>
      </c>
      <c r="G3" s="45" t="s">
        <v>257</v>
      </c>
      <c r="H3" s="45" t="s">
        <v>258</v>
      </c>
      <c r="I3" s="45" t="s">
        <v>259</v>
      </c>
      <c r="J3" s="45" t="s">
        <v>260</v>
      </c>
      <c r="K3" s="45" t="s">
        <v>261</v>
      </c>
      <c r="L3" s="45" t="s">
        <v>262</v>
      </c>
      <c r="M3" s="45" t="s">
        <v>263</v>
      </c>
      <c r="N3" s="45"/>
      <c r="O3" s="45"/>
      <c r="P3" s="45"/>
      <c r="Q3" s="45"/>
      <c r="R3" s="45"/>
      <c r="S3" s="45"/>
      <c r="T3" s="45"/>
      <c r="U3" s="45"/>
      <c r="V3" s="45"/>
    </row>
    <row r="4" spans="1:22" s="47" customFormat="1" ht="168" customHeight="1">
      <c r="A4" s="46" t="s">
        <v>89</v>
      </c>
      <c r="B4" s="45" t="s">
        <v>97</v>
      </c>
      <c r="C4" s="45" t="s">
        <v>91</v>
      </c>
      <c r="D4" s="45" t="s">
        <v>264</v>
      </c>
      <c r="E4" s="45"/>
      <c r="F4" s="45" t="s">
        <v>265</v>
      </c>
      <c r="G4" s="45" t="s">
        <v>266</v>
      </c>
      <c r="H4" s="45" t="s">
        <v>267</v>
      </c>
      <c r="I4" s="45" t="s">
        <v>268</v>
      </c>
      <c r="J4" s="45" t="s">
        <v>269</v>
      </c>
      <c r="K4" s="45" t="s">
        <v>266</v>
      </c>
      <c r="L4" s="45" t="s">
        <v>261</v>
      </c>
      <c r="M4" s="45" t="s">
        <v>270</v>
      </c>
      <c r="N4" s="45" t="s">
        <v>271</v>
      </c>
      <c r="O4" s="45"/>
      <c r="P4" s="45"/>
      <c r="Q4" s="45"/>
      <c r="R4" s="45"/>
      <c r="S4" s="45"/>
      <c r="T4" s="45"/>
      <c r="U4" s="45"/>
      <c r="V4" s="45"/>
    </row>
    <row r="5" spans="1:22" ht="168" customHeight="1">
      <c r="A5" s="43" t="s">
        <v>105</v>
      </c>
      <c r="B5" s="39" t="s">
        <v>113</v>
      </c>
      <c r="C5" s="39" t="s">
        <v>107</v>
      </c>
      <c r="D5" s="45" t="s">
        <v>272</v>
      </c>
      <c r="E5" s="45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168" customHeight="1">
      <c r="A6" s="43" t="s">
        <v>121</v>
      </c>
      <c r="B6" s="39" t="s">
        <v>128</v>
      </c>
      <c r="C6" s="39" t="s">
        <v>107</v>
      </c>
      <c r="D6" s="45" t="s">
        <v>273</v>
      </c>
      <c r="E6" s="45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168" customHeight="1">
      <c r="A7" s="43" t="s">
        <v>136</v>
      </c>
      <c r="B7" s="39" t="s">
        <v>144</v>
      </c>
      <c r="C7" s="39" t="s">
        <v>138</v>
      </c>
      <c r="D7" s="45" t="s">
        <v>274</v>
      </c>
      <c r="E7" s="45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168" customHeight="1">
      <c r="A8" s="43" t="s">
        <v>152</v>
      </c>
      <c r="B8" s="39" t="s">
        <v>160</v>
      </c>
      <c r="C8" s="39" t="s">
        <v>154</v>
      </c>
      <c r="D8" s="45" t="s">
        <v>275</v>
      </c>
      <c r="E8" s="45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168" customHeight="1">
      <c r="A9" s="43" t="s">
        <v>168</v>
      </c>
      <c r="B9" s="39" t="s">
        <v>174</v>
      </c>
      <c r="C9" s="39" t="s">
        <v>154</v>
      </c>
      <c r="D9" s="45" t="s">
        <v>276</v>
      </c>
      <c r="E9" s="45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168" customHeight="1">
      <c r="A10" s="43" t="s">
        <v>181</v>
      </c>
      <c r="B10" s="39" t="s">
        <v>186</v>
      </c>
      <c r="C10" s="39" t="s">
        <v>154</v>
      </c>
      <c r="D10" s="45" t="s">
        <v>277</v>
      </c>
      <c r="E10" s="45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C14CA-B315-4C72-A383-829409DBEFF0}">
  <dimension ref="A2:R31"/>
  <sheetViews>
    <sheetView zoomScale="70" zoomScaleNormal="70" workbookViewId="0">
      <selection activeCell="B3" sqref="B3"/>
    </sheetView>
  </sheetViews>
  <sheetFormatPr defaultRowHeight="15"/>
  <cols>
    <col min="2" max="2" width="68.28515625" customWidth="1"/>
    <col min="3" max="4" width="19.85546875" customWidth="1"/>
    <col min="6" max="6" width="48.28515625" bestFit="1" customWidth="1"/>
  </cols>
  <sheetData>
    <row r="2" spans="1:18" ht="15.75" thickBot="1">
      <c r="A2" s="22" t="s">
        <v>278</v>
      </c>
      <c r="B2" s="22" t="s">
        <v>279</v>
      </c>
      <c r="C2" s="22" t="s">
        <v>280</v>
      </c>
      <c r="D2" s="22" t="s">
        <v>281</v>
      </c>
      <c r="E2" s="22" t="s">
        <v>282</v>
      </c>
      <c r="F2" s="22" t="s">
        <v>283</v>
      </c>
    </row>
    <row r="3" spans="1:18" ht="90.75" thickTop="1">
      <c r="A3" s="20" t="s">
        <v>284</v>
      </c>
      <c r="B3" s="21" t="s">
        <v>285</v>
      </c>
      <c r="C3" s="20" t="s">
        <v>286</v>
      </c>
      <c r="D3" s="20" t="s">
        <v>287</v>
      </c>
      <c r="E3" s="20"/>
      <c r="F3" s="20" t="s">
        <v>288</v>
      </c>
    </row>
    <row r="4" spans="1:18">
      <c r="A4" s="18" t="s">
        <v>284</v>
      </c>
      <c r="B4" s="18" t="s">
        <v>289</v>
      </c>
      <c r="C4" s="18" t="s">
        <v>286</v>
      </c>
      <c r="D4" s="18" t="s">
        <v>287</v>
      </c>
      <c r="E4" s="18" t="s">
        <v>290</v>
      </c>
      <c r="F4" s="18" t="s">
        <v>291</v>
      </c>
      <c r="Q4" t="s">
        <v>278</v>
      </c>
      <c r="R4" t="s">
        <v>281</v>
      </c>
    </row>
    <row r="5" spans="1:18">
      <c r="A5" s="18" t="s">
        <v>292</v>
      </c>
      <c r="B5" s="18" t="s">
        <v>293</v>
      </c>
      <c r="C5" s="18" t="s">
        <v>286</v>
      </c>
      <c r="D5" s="18" t="s">
        <v>287</v>
      </c>
      <c r="E5" s="18" t="s">
        <v>290</v>
      </c>
      <c r="F5" s="18" t="s">
        <v>294</v>
      </c>
      <c r="Q5" t="s">
        <v>284</v>
      </c>
      <c r="R5" t="s">
        <v>287</v>
      </c>
    </row>
    <row r="6" spans="1:18">
      <c r="A6" s="18" t="s">
        <v>292</v>
      </c>
      <c r="B6" s="18" t="s">
        <v>295</v>
      </c>
      <c r="C6" s="18" t="s">
        <v>296</v>
      </c>
      <c r="D6" s="18" t="s">
        <v>287</v>
      </c>
      <c r="E6" s="19">
        <v>45915</v>
      </c>
      <c r="F6" s="18" t="s">
        <v>297</v>
      </c>
      <c r="Q6" t="s">
        <v>298</v>
      </c>
      <c r="R6" t="s">
        <v>299</v>
      </c>
    </row>
    <row r="7" spans="1:18">
      <c r="A7" s="18" t="s">
        <v>292</v>
      </c>
      <c r="B7" s="18" t="s">
        <v>300</v>
      </c>
      <c r="C7" s="18" t="s">
        <v>301</v>
      </c>
      <c r="D7" s="18" t="s">
        <v>299</v>
      </c>
      <c r="E7" s="19">
        <v>45908</v>
      </c>
      <c r="F7" s="3"/>
      <c r="Q7" t="s">
        <v>292</v>
      </c>
      <c r="R7" t="s">
        <v>302</v>
      </c>
    </row>
    <row r="8" spans="1:18">
      <c r="A8" s="18" t="s">
        <v>284</v>
      </c>
      <c r="B8" s="18" t="s">
        <v>303</v>
      </c>
      <c r="C8" s="18" t="s">
        <v>304</v>
      </c>
      <c r="D8" s="18" t="s">
        <v>287</v>
      </c>
      <c r="E8" s="19">
        <v>45912</v>
      </c>
      <c r="F8" s="3"/>
      <c r="Q8" t="s">
        <v>305</v>
      </c>
      <c r="R8" t="s">
        <v>306</v>
      </c>
    </row>
    <row r="9" spans="1:18">
      <c r="A9" s="18" t="s">
        <v>298</v>
      </c>
      <c r="B9" s="18" t="s">
        <v>307</v>
      </c>
      <c r="C9" s="18" t="s">
        <v>304</v>
      </c>
      <c r="D9" s="18" t="s">
        <v>287</v>
      </c>
      <c r="E9" s="18"/>
      <c r="F9" s="18" t="s">
        <v>308</v>
      </c>
    </row>
    <row r="10" spans="1:18">
      <c r="A10" s="18" t="s">
        <v>298</v>
      </c>
      <c r="B10" s="18" t="s">
        <v>309</v>
      </c>
      <c r="C10" s="18" t="s">
        <v>304</v>
      </c>
      <c r="D10" s="18" t="s">
        <v>287</v>
      </c>
      <c r="E10" s="18"/>
      <c r="F10" s="18" t="s">
        <v>310</v>
      </c>
    </row>
    <row r="11" spans="1:18">
      <c r="A11" s="18" t="s">
        <v>311</v>
      </c>
      <c r="B11" s="18" t="s">
        <v>312</v>
      </c>
      <c r="C11" s="18" t="s">
        <v>301</v>
      </c>
      <c r="D11" s="18" t="s">
        <v>299</v>
      </c>
      <c r="E11" s="19">
        <v>45908</v>
      </c>
      <c r="F11" s="18" t="s">
        <v>313</v>
      </c>
    </row>
    <row r="12" spans="1:18">
      <c r="A12" s="18" t="s">
        <v>311</v>
      </c>
      <c r="B12" s="18" t="s">
        <v>314</v>
      </c>
      <c r="C12" s="18" t="s">
        <v>304</v>
      </c>
      <c r="D12" s="18" t="s">
        <v>287</v>
      </c>
      <c r="E12" s="19">
        <v>45912</v>
      </c>
      <c r="F12" s="18" t="s">
        <v>315</v>
      </c>
    </row>
    <row r="13" spans="1:18">
      <c r="A13" s="18" t="s">
        <v>298</v>
      </c>
      <c r="B13" s="18" t="s">
        <v>316</v>
      </c>
      <c r="C13" s="18" t="s">
        <v>301</v>
      </c>
      <c r="D13" s="18" t="s">
        <v>287</v>
      </c>
      <c r="E13" s="19">
        <v>45910</v>
      </c>
      <c r="F13" s="3"/>
    </row>
    <row r="14" spans="1:18" ht="45">
      <c r="A14" s="18" t="s">
        <v>292</v>
      </c>
      <c r="B14" s="18" t="s">
        <v>317</v>
      </c>
      <c r="C14" s="18" t="s">
        <v>301</v>
      </c>
      <c r="D14" s="18" t="s">
        <v>287</v>
      </c>
      <c r="E14" s="19">
        <v>45917</v>
      </c>
      <c r="F14" s="25" t="s">
        <v>318</v>
      </c>
    </row>
    <row r="15" spans="1:18">
      <c r="A15" s="18" t="s">
        <v>292</v>
      </c>
      <c r="B15" s="18" t="s">
        <v>319</v>
      </c>
      <c r="C15" s="18" t="s">
        <v>301</v>
      </c>
      <c r="D15" s="18" t="s">
        <v>287</v>
      </c>
      <c r="E15" s="19" t="s">
        <v>290</v>
      </c>
      <c r="F15" s="3" t="s">
        <v>320</v>
      </c>
    </row>
    <row r="16" spans="1:18" ht="105">
      <c r="A16" s="18" t="s">
        <v>292</v>
      </c>
      <c r="B16" s="11" t="s">
        <v>321</v>
      </c>
      <c r="C16" s="11" t="s">
        <v>322</v>
      </c>
      <c r="D16" s="18" t="s">
        <v>287</v>
      </c>
      <c r="E16" s="19">
        <v>45908</v>
      </c>
      <c r="F16" s="3"/>
    </row>
    <row r="17" spans="1:6">
      <c r="A17" s="18"/>
      <c r="B17" s="18"/>
      <c r="C17" s="18"/>
      <c r="D17" s="18"/>
      <c r="E17" s="19"/>
      <c r="F17" s="3"/>
    </row>
    <row r="18" spans="1:6">
      <c r="A18" s="18"/>
      <c r="B18" s="18"/>
      <c r="C18" s="18"/>
      <c r="D18" s="18"/>
      <c r="E18" s="19"/>
      <c r="F18" s="3"/>
    </row>
    <row r="19" spans="1:6">
      <c r="A19" s="18"/>
      <c r="B19" s="18"/>
      <c r="C19" s="18"/>
      <c r="D19" s="18"/>
      <c r="E19" s="19"/>
      <c r="F19" s="3"/>
    </row>
    <row r="20" spans="1:6">
      <c r="A20" s="18"/>
      <c r="B20" s="18"/>
      <c r="C20" s="18"/>
      <c r="D20" s="18"/>
      <c r="E20" s="18"/>
      <c r="F20" s="3"/>
    </row>
    <row r="21" spans="1:6">
      <c r="A21" s="17"/>
      <c r="B21" s="17"/>
      <c r="C21" s="17"/>
      <c r="D21" s="17"/>
      <c r="E21" s="17"/>
    </row>
    <row r="22" spans="1:6">
      <c r="A22" s="17"/>
      <c r="B22" s="17"/>
      <c r="C22" s="17"/>
      <c r="D22" s="17"/>
      <c r="E22" s="17"/>
    </row>
    <row r="23" spans="1:6">
      <c r="A23" s="17"/>
      <c r="B23" s="17"/>
      <c r="C23" s="17"/>
      <c r="D23" s="17"/>
      <c r="E23" s="17"/>
    </row>
    <row r="24" spans="1:6">
      <c r="A24" s="17"/>
      <c r="B24" s="17"/>
      <c r="C24" s="17"/>
      <c r="D24" s="17"/>
      <c r="E24" s="17"/>
    </row>
    <row r="25" spans="1:6">
      <c r="A25" s="17"/>
      <c r="B25" s="17"/>
      <c r="C25" s="17"/>
      <c r="D25" s="17"/>
      <c r="E25" s="17"/>
    </row>
    <row r="26" spans="1:6">
      <c r="A26" s="17"/>
      <c r="B26" s="17"/>
      <c r="C26" s="17"/>
      <c r="D26" s="17"/>
      <c r="E26" s="17"/>
    </row>
    <row r="27" spans="1:6">
      <c r="A27" s="17"/>
      <c r="B27" s="17"/>
      <c r="C27" s="17"/>
      <c r="D27" s="17"/>
      <c r="E27" s="17"/>
    </row>
    <row r="28" spans="1:6">
      <c r="A28" s="17"/>
      <c r="B28" s="17"/>
      <c r="C28" s="17"/>
      <c r="D28" s="17"/>
      <c r="E28" s="17"/>
    </row>
    <row r="29" spans="1:6">
      <c r="A29" s="17"/>
      <c r="B29" s="17"/>
      <c r="C29" s="17"/>
      <c r="D29" s="17"/>
      <c r="E29" s="17"/>
    </row>
    <row r="30" spans="1:6">
      <c r="A30" s="17"/>
      <c r="B30" s="17"/>
      <c r="C30" s="17"/>
      <c r="D30" s="17"/>
      <c r="E30" s="17"/>
    </row>
    <row r="31" spans="1:6">
      <c r="A31" s="17"/>
      <c r="B31" s="17"/>
      <c r="C31" s="17"/>
      <c r="D31" s="17"/>
      <c r="E31" s="17"/>
    </row>
  </sheetData>
  <conditionalFormatting sqref="A1:A1048576">
    <cfRule type="cellIs" dxfId="5" priority="1" operator="equal">
      <formula>"General"</formula>
    </cfRule>
    <cfRule type="cellIs" dxfId="4" priority="2" operator="equal">
      <formula>"Scorpion"</formula>
    </cfRule>
    <cfRule type="cellIs" dxfId="3" priority="3" operator="equal">
      <formula>"Gecko"</formula>
    </cfRule>
    <cfRule type="cellIs" dxfId="2" priority="4" operator="equal">
      <formula>"ELK"</formula>
    </cfRule>
  </conditionalFormatting>
  <conditionalFormatting sqref="D1:D1048576">
    <cfRule type="cellIs" dxfId="1" priority="5" operator="equal">
      <formula>"Close"</formula>
    </cfRule>
    <cfRule type="cellIs" dxfId="0" priority="6" operator="equal">
      <formula>"Open"</formula>
    </cfRule>
  </conditionalFormatting>
  <dataValidations count="2">
    <dataValidation type="list" allowBlank="1" showInputMessage="1" showErrorMessage="1" sqref="A3:A20" xr:uid="{765240B4-B76F-4CCE-98D8-8F8501656D12}">
      <formula1>$Q$5:$Q$8</formula1>
    </dataValidation>
    <dataValidation type="list" allowBlank="1" showInputMessage="1" showErrorMessage="1" sqref="D3:D20" xr:uid="{C1CEBF8D-5BA3-4E7E-B029-998DF6B72BD7}">
      <formula1>$R$5:$R$8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B2719-F0E7-4EED-94E3-3D9A2328A612}">
  <dimension ref="A2:H13"/>
  <sheetViews>
    <sheetView workbookViewId="0">
      <selection activeCell="F8" sqref="F8"/>
    </sheetView>
  </sheetViews>
  <sheetFormatPr defaultRowHeight="15"/>
  <cols>
    <col min="1" max="1" width="8.28515625" customWidth="1"/>
    <col min="2" max="2" width="23.140625" customWidth="1"/>
    <col min="3" max="3" width="21.7109375" customWidth="1"/>
    <col min="4" max="4" width="26.42578125" customWidth="1"/>
    <col min="5" max="5" width="21.7109375" customWidth="1"/>
    <col min="6" max="6" width="23.85546875" bestFit="1" customWidth="1"/>
    <col min="7" max="7" width="13.85546875" bestFit="1" customWidth="1"/>
  </cols>
  <sheetData>
    <row r="2" spans="1:8" s="16" customFormat="1">
      <c r="A2" s="23" t="s">
        <v>9</v>
      </c>
      <c r="B2" s="23" t="s">
        <v>10</v>
      </c>
      <c r="C2" s="24" t="s">
        <v>323</v>
      </c>
      <c r="D2" s="24" t="s">
        <v>324</v>
      </c>
      <c r="E2" s="24" t="s">
        <v>325</v>
      </c>
      <c r="F2" s="24" t="s">
        <v>326</v>
      </c>
      <c r="G2" s="24" t="s">
        <v>327</v>
      </c>
    </row>
    <row r="3" spans="1:8">
      <c r="A3" s="3" t="s">
        <v>60</v>
      </c>
      <c r="B3" s="3" t="s">
        <v>61</v>
      </c>
      <c r="C3" s="3" t="s">
        <v>328</v>
      </c>
      <c r="D3" s="3" t="s">
        <v>62</v>
      </c>
      <c r="E3" s="3" t="s">
        <v>62</v>
      </c>
      <c r="F3" s="3" t="s">
        <v>69</v>
      </c>
      <c r="G3" s="3" t="s">
        <v>69</v>
      </c>
    </row>
    <row r="4" spans="1:8">
      <c r="A4" s="3" t="s">
        <v>329</v>
      </c>
      <c r="B4" s="3" t="s">
        <v>330</v>
      </c>
      <c r="C4" s="3" t="s">
        <v>331</v>
      </c>
      <c r="D4" s="3" t="s">
        <v>62</v>
      </c>
      <c r="E4" s="3" t="s">
        <v>332</v>
      </c>
      <c r="F4" s="3" t="s">
        <v>333</v>
      </c>
      <c r="G4" s="3" t="s">
        <v>69</v>
      </c>
    </row>
    <row r="5" spans="1:8">
      <c r="A5" s="3" t="s">
        <v>334</v>
      </c>
      <c r="B5" s="3" t="s">
        <v>335</v>
      </c>
      <c r="C5" s="3" t="s">
        <v>335</v>
      </c>
      <c r="D5" s="3" t="s">
        <v>332</v>
      </c>
      <c r="E5" s="3" t="s">
        <v>332</v>
      </c>
      <c r="F5" s="3" t="s">
        <v>69</v>
      </c>
      <c r="G5" s="3" t="s">
        <v>69</v>
      </c>
    </row>
    <row r="6" spans="1:8">
      <c r="A6" s="3" t="s">
        <v>329</v>
      </c>
      <c r="B6" s="3" t="s">
        <v>336</v>
      </c>
      <c r="C6" s="3" t="s">
        <v>337</v>
      </c>
      <c r="D6" s="3" t="s">
        <v>332</v>
      </c>
      <c r="E6" s="3" t="s">
        <v>332</v>
      </c>
      <c r="F6" s="3" t="s">
        <v>69</v>
      </c>
      <c r="G6" s="3" t="s">
        <v>69</v>
      </c>
    </row>
    <row r="7" spans="1:8">
      <c r="A7" s="3" t="s">
        <v>89</v>
      </c>
      <c r="B7" s="3" t="s">
        <v>90</v>
      </c>
      <c r="C7" s="3" t="s">
        <v>338</v>
      </c>
      <c r="D7" s="3" t="s">
        <v>339</v>
      </c>
      <c r="E7" s="3" t="s">
        <v>91</v>
      </c>
      <c r="F7" s="3" t="s">
        <v>340</v>
      </c>
      <c r="G7" s="3" t="s">
        <v>69</v>
      </c>
      <c r="H7" s="55"/>
    </row>
    <row r="8" spans="1:8">
      <c r="A8" s="3" t="s">
        <v>105</v>
      </c>
      <c r="B8" s="3" t="s">
        <v>341</v>
      </c>
      <c r="C8" s="3" t="s">
        <v>341</v>
      </c>
      <c r="D8" s="27" t="s">
        <v>332</v>
      </c>
      <c r="E8" s="26" t="s">
        <v>107</v>
      </c>
      <c r="F8" s="3" t="s">
        <v>342</v>
      </c>
      <c r="G8" s="3" t="s">
        <v>343</v>
      </c>
    </row>
    <row r="9" spans="1:8">
      <c r="A9" s="3" t="s">
        <v>121</v>
      </c>
      <c r="B9" s="3" t="s">
        <v>344</v>
      </c>
      <c r="C9" s="3" t="s">
        <v>344</v>
      </c>
      <c r="D9" s="3" t="s">
        <v>107</v>
      </c>
      <c r="E9" s="3" t="s">
        <v>107</v>
      </c>
      <c r="F9" s="3" t="s">
        <v>69</v>
      </c>
      <c r="G9" s="3" t="s">
        <v>69</v>
      </c>
    </row>
    <row r="10" spans="1:8">
      <c r="A10" s="3" t="s">
        <v>136</v>
      </c>
      <c r="B10" s="3" t="s">
        <v>137</v>
      </c>
      <c r="C10" s="3" t="s">
        <v>137</v>
      </c>
      <c r="D10" s="3" t="s">
        <v>138</v>
      </c>
      <c r="E10" s="3" t="s">
        <v>138</v>
      </c>
      <c r="F10" s="3" t="s">
        <v>69</v>
      </c>
      <c r="G10" s="3" t="s">
        <v>69</v>
      </c>
    </row>
    <row r="11" spans="1:8">
      <c r="A11" s="3" t="s">
        <v>152</v>
      </c>
      <c r="B11" s="3" t="s">
        <v>153</v>
      </c>
      <c r="C11" s="3" t="s">
        <v>153</v>
      </c>
      <c r="D11" s="3" t="s">
        <v>345</v>
      </c>
      <c r="E11" s="3" t="s">
        <v>154</v>
      </c>
      <c r="F11" s="3" t="s">
        <v>346</v>
      </c>
      <c r="G11" s="3" t="s">
        <v>347</v>
      </c>
    </row>
    <row r="12" spans="1:8">
      <c r="A12" s="3" t="s">
        <v>168</v>
      </c>
      <c r="B12" s="3" t="s">
        <v>169</v>
      </c>
      <c r="C12" s="3" t="s">
        <v>169</v>
      </c>
      <c r="D12" s="3" t="s">
        <v>154</v>
      </c>
      <c r="E12" s="3" t="s">
        <v>154</v>
      </c>
      <c r="F12" s="3" t="s">
        <v>69</v>
      </c>
      <c r="G12" s="3" t="s">
        <v>69</v>
      </c>
    </row>
    <row r="13" spans="1:8">
      <c r="A13" s="3" t="s">
        <v>181</v>
      </c>
      <c r="B13" s="3" t="s">
        <v>182</v>
      </c>
      <c r="C13" s="3" t="s">
        <v>182</v>
      </c>
      <c r="D13" s="3" t="s">
        <v>154</v>
      </c>
      <c r="E13" s="3" t="s">
        <v>154</v>
      </c>
      <c r="F13" s="3" t="s">
        <v>69</v>
      </c>
      <c r="G13" s="3" t="s">
        <v>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B61CB-FC1A-437C-B3CB-17E94A0D98F2}">
  <dimension ref="B5:C10"/>
  <sheetViews>
    <sheetView workbookViewId="0">
      <selection activeCell="B6" sqref="B6"/>
    </sheetView>
  </sheetViews>
  <sheetFormatPr defaultRowHeight="15"/>
  <cols>
    <col min="2" max="3" width="47.140625" style="8" customWidth="1"/>
  </cols>
  <sheetData>
    <row r="5" spans="2:3">
      <c r="B5" s="9" t="s">
        <v>348</v>
      </c>
      <c r="C5" s="9" t="s">
        <v>349</v>
      </c>
    </row>
    <row r="6" spans="2:3" ht="60">
      <c r="B6" s="11" t="s">
        <v>350</v>
      </c>
      <c r="C6" s="11" t="s">
        <v>351</v>
      </c>
    </row>
    <row r="7" spans="2:3" ht="30">
      <c r="B7" s="11" t="s">
        <v>352</v>
      </c>
      <c r="C7" s="11" t="s">
        <v>353</v>
      </c>
    </row>
    <row r="8" spans="2:3">
      <c r="B8" s="11" t="s">
        <v>354</v>
      </c>
      <c r="C8" s="11" t="s">
        <v>355</v>
      </c>
    </row>
    <row r="9" spans="2:3" ht="45">
      <c r="B9" s="11" t="s">
        <v>356</v>
      </c>
      <c r="C9" s="11" t="s">
        <v>357</v>
      </c>
    </row>
    <row r="10" spans="2:3" ht="30">
      <c r="B10" s="11" t="s">
        <v>358</v>
      </c>
      <c r="C10" s="11" t="s">
        <v>359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9593D-01F8-4191-8614-16DAE5DBA27B}">
  <dimension ref="B3:G9"/>
  <sheetViews>
    <sheetView workbookViewId="0">
      <selection activeCell="G14" sqref="G14"/>
    </sheetView>
  </sheetViews>
  <sheetFormatPr defaultRowHeight="15"/>
  <cols>
    <col min="2" max="2" width="21" customWidth="1"/>
    <col min="3" max="3" width="49.85546875" customWidth="1"/>
    <col min="4" max="4" width="47.28515625" customWidth="1"/>
    <col min="5" max="5" width="21.42578125" bestFit="1" customWidth="1"/>
    <col min="6" max="6" width="26.28515625" customWidth="1"/>
    <col min="7" max="7" width="37.7109375" style="8" bestFit="1" customWidth="1"/>
  </cols>
  <sheetData>
    <row r="3" spans="2:7">
      <c r="B3" s="13" t="s">
        <v>234</v>
      </c>
      <c r="C3" s="13" t="s">
        <v>360</v>
      </c>
      <c r="D3" s="13" t="s">
        <v>361</v>
      </c>
      <c r="E3" s="13" t="s">
        <v>362</v>
      </c>
      <c r="F3" s="13" t="s">
        <v>363</v>
      </c>
      <c r="G3" s="9" t="s">
        <v>364</v>
      </c>
    </row>
    <row r="4" spans="2:7" ht="30">
      <c r="B4" s="2" t="s">
        <v>365</v>
      </c>
      <c r="C4" s="2" t="s">
        <v>366</v>
      </c>
      <c r="D4" s="2" t="s">
        <v>367</v>
      </c>
      <c r="E4" s="3"/>
      <c r="F4" s="3"/>
      <c r="G4" s="2" t="s">
        <v>368</v>
      </c>
    </row>
    <row r="5" spans="2:7" ht="30">
      <c r="B5" s="12" t="s">
        <v>365</v>
      </c>
      <c r="C5" s="2" t="s">
        <v>369</v>
      </c>
      <c r="D5" s="12" t="s">
        <v>370</v>
      </c>
      <c r="E5" s="3"/>
      <c r="F5" s="3"/>
      <c r="G5" s="2" t="s">
        <v>371</v>
      </c>
    </row>
    <row r="6" spans="2:7">
      <c r="B6" s="3" t="s">
        <v>365</v>
      </c>
      <c r="C6" s="3" t="s">
        <v>372</v>
      </c>
      <c r="D6" s="3" t="s">
        <v>373</v>
      </c>
      <c r="E6" s="3"/>
      <c r="F6" s="3"/>
      <c r="G6" s="2" t="s">
        <v>374</v>
      </c>
    </row>
    <row r="7" spans="2:7" ht="30">
      <c r="B7" s="3" t="s">
        <v>365</v>
      </c>
      <c r="C7" s="3" t="s">
        <v>375</v>
      </c>
      <c r="D7" s="3" t="s">
        <v>376</v>
      </c>
      <c r="E7" s="3"/>
      <c r="F7" s="3"/>
      <c r="G7" s="2" t="s">
        <v>377</v>
      </c>
    </row>
    <row r="8" spans="2:7">
      <c r="B8" s="3"/>
      <c r="C8" s="3"/>
      <c r="D8" s="3"/>
      <c r="E8" s="3"/>
      <c r="F8" s="3"/>
      <c r="G8" s="2"/>
    </row>
    <row r="9" spans="2:7">
      <c r="B9" s="3"/>
      <c r="C9" s="3"/>
      <c r="D9" s="3"/>
      <c r="E9" s="3"/>
      <c r="F9" s="3"/>
      <c r="G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Jabil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Bustillos</dc:creator>
  <cp:keywords/>
  <dc:description/>
  <cp:lastModifiedBy/>
  <cp:revision/>
  <dcterms:created xsi:type="dcterms:W3CDTF">2025-08-22T18:28:45Z</dcterms:created>
  <dcterms:modified xsi:type="dcterms:W3CDTF">2026-09-22T21:23:32Z</dcterms:modified>
  <cp:category/>
  <cp:contentStatus/>
</cp:coreProperties>
</file>