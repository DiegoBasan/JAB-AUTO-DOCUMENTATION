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<sst xmlns="http://schemas.openxmlformats.org/spreadsheetml/2006/main" count="2563" uniqueCount="1242">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</sst>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5"/>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REVALIDACION: Estaciones Moose/Scorpion de atornillado e inspeccion manual (JA100924-03, JA100924-06, JA100924-07, MS-550-03, MS-550-04, MS-550-05, MS-550-06, MS-550-07)</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30/09/2026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Carga y atornillado manual de la pieza en la fixtura</t>
        </is>
      </c>
      <c r="C8" s="56" t="inlineStr">
        <is>
          <t xml:space="preserve">Paso 1 de 4: el operador toma la pieza y la coloca en la fixtura</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1</t>
        </is>
      </c>
      <c r="I8" s="57" t="inlineStr">
        <is>
          <t xml:space="preserve">2</t>
        </is>
      </c>
      <c r="J8" s="51">
        <f t="shared" ref="J8" si="0">H8*I8</f>
        <v>0</v>
      </c>
      <c r="K8" s="107" t="inlineStr">
        <is>
          <t xml:space="preserve">Resguardos mecánicos</t>
        </is>
      </c>
      <c r="L8" s="58" t="inlineStr">
        <is>
          <t xml:space="preserve">Traje de cuarto limpio, cofia, guantes de nitrilo, cubrebocas, lentes de seguridad y calzado antiestático (ESD), conforme al ingreso a Cuarto Limpio ISO 7.</t>
        </is>
      </c>
      <c r="M8" s="58" t="inlineStr">
        <is>
          <t xml:space="preserve">16-AT40-3318-00008
16-AT40-3318-00009
16-AT40-3318-00010
16-AT40-3318-00011
16-AT40-3318-00021
16-AT40-3318-00024
16-AT40-3318-00025
(Front Assy Moose: numero de AV pendiente de confirmar, ilegible en la imagen enviada)</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Carga y atornillado manual de la pieza en la fixtura</t>
        </is>
      </c>
      <c r="C9" s="56" t="inlineStr">
        <is>
          <t xml:space="preserve">Paso 2 de 4: asegura la pieza con el seguro/clip manual de la fixtura</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1</t>
        </is>
      </c>
      <c r="I9" s="57" t="inlineStr">
        <is>
          <t xml:space="preserve">2</t>
        </is>
      </c>
      <c r="J9" s="51">
        <f t="shared" ref="J9:J35" si="3">H9*I9</f>
        <v>0</v>
      </c>
      <c r="K9" s="107" t="inlineStr">
        <is>
          <t xml:space="preserve">Resguardos mecánicos</t>
        </is>
      </c>
      <c r="L9" s="58" t="inlineStr">
        <is>
          <t xml:space="preserve">Traje de cuarto limpio, cofia, guantes de nitrilo, cubrebocas, lentes de seguridad y calzado antiestático (ESD), conforme al ingreso a Cuarto Limpio ISO 7.</t>
        </is>
      </c>
      <c r="M9" s="58" t="inlineStr">
        <is>
          <t xml:space="preserve">16-AT40-3318-00008
16-AT40-3318-00009
16-AT40-3318-00010
16-AT40-3318-00011
16-AT40-3318-00021
16-AT40-3318-00024
16-AT40-3318-00025
(Front Assy Moose: numero de AV pendiente de confirmar, ilegible en la imagen enviada)</t>
        </is>
      </c>
      <c r="N9" s="57" t="inlineStr">
        <is>
          <t xml:space="preserve">EHS / Automation</t>
        </is>
      </c>
      <c r="O9" s="49" t="inlineStr">
        <is>
          <t xml:space="preserve">3</t>
        </is>
      </c>
      <c r="P9" s="61">
        <f t="shared" ref="P9:P35" si="4">IF(O9=5,(J9*1),IF(O9=4,(J9*0.85),IF(O9=3,(J9*0.15),IF(O9=2,(J9*0.05),IF(O9=1,(J9*-0.0000000000000001),(J9*1))))))</f>
        <v>0</v>
      </c>
      <c r="Q9" s="60">
        <f t="shared" ref="Q9:Q35" si="5">IF(J9=0,0,(P9-J9)/J9)</f>
        <v>0</v>
      </c>
      <c r="R9" s="57"/>
      <c r="S9" s="57"/>
    </row>
    <row r="10" spans="1:19" s="19" customFormat="1" x14ac:dyDescent="0.2">
      <c r="A10" s="55" t="inlineStr">
        <is>
          <t xml:space="preserve">Rutinario</t>
        </is>
      </c>
      <c r="B10" s="55" t="inlineStr">
        <is>
          <t xml:space="preserve">Carga y atornillado manual de la pieza en la fixtura</t>
        </is>
      </c>
      <c r="C10" s="56" t="inlineStr">
        <is>
          <t xml:space="preserve">Paso 3 de 4: toma el atornillador manual y aplica el torque en los puntos programados</t>
        </is>
      </c>
      <c r="D10" s="56" t="inlineStr">
        <is>
          <t xml:space="preserve">Mecanico</t>
        </is>
      </c>
      <c r="E10" s="49" t="inlineStr">
        <is>
          <t xml:space="preserve">Partes móviles</t>
        </is>
      </c>
      <c r="F10" s="49" t="inlineStr">
        <is>
          <t xml:space="preserve">Laceración</t>
        </is>
      </c>
      <c r="G10" s="56" t="inlineStr">
        <is>
          <t xml:space="preserve">Control</t>
        </is>
      </c>
      <c r="H10" s="57" t="inlineStr">
        <is>
          <t xml:space="preserve">2</t>
        </is>
      </c>
      <c r="I10" s="57" t="inlineStr">
        <is>
          <t xml:space="preserve">2</t>
        </is>
      </c>
      <c r="J10" s="51">
        <f t="shared" si="3"/>
        <v>0</v>
      </c>
      <c r="K10" s="107" t="inlineStr">
        <is>
          <t xml:space="preserve">Resguardos mecánicos</t>
        </is>
      </c>
      <c r="L10" s="58" t="inlineStr">
        <is>
          <t xml:space="preserve">Traje de cuarto limpio, cofia, guantes de nitrilo, cubrebocas, lentes de seguridad y calzado antiestático (ESD), conforme al ingreso a Cuarto Limpio ISO 7.</t>
        </is>
      </c>
      <c r="M10" s="58" t="inlineStr">
        <is>
          <t xml:space="preserve">16-AT40-3318-00008
16-AT40-3318-00009
16-AT40-3318-00010
16-AT40-3318-00011
16-AT40-3318-00021
16-AT40-3318-00024
16-AT40-3318-00025
(Front Assy Moose: numero de AV pendiente de confirmar, ilegible en la imagen enviada)</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Carga y atornillado manual de la pieza en la fixtura</t>
        </is>
      </c>
      <c r="C11" s="56" t="inlineStr">
        <is>
          <t xml:space="preserve">Paso 4 de 4: retira la pieza terminada de la fixtura y la coloca en el contenedor de salida</t>
        </is>
      </c>
      <c r="D11" s="56" t="inlineStr">
        <is>
          <t xml:space="preserve">Ergonomía</t>
        </is>
      </c>
      <c r="E11" s="49" t="inlineStr">
        <is>
          <t xml:space="preserve">Movimientos repetitivos</t>
        </is>
      </c>
      <c r="F11" s="49" t="inlineStr">
        <is>
          <t xml:space="preserve">Fatiga muscular</t>
        </is>
      </c>
      <c r="G11" s="56" t="inlineStr">
        <is>
          <t xml:space="preserve">Influencia</t>
        </is>
      </c>
      <c r="H11" s="57" t="inlineStr">
        <is>
          <t xml:space="preserve">2</t>
        </is>
      </c>
      <c r="I11" s="57" t="inlineStr">
        <is>
          <t xml:space="preserve">2</t>
        </is>
      </c>
      <c r="J11" s="51">
        <f t="shared" si="3"/>
        <v>0</v>
      </c>
      <c r="K11" s="107" t="inlineStr">
        <is>
          <t xml:space="preserve">ergonomía</t>
        </is>
      </c>
      <c r="L11" s="58" t="inlineStr">
        <is>
          <t xml:space="preserve">Traje de cuarto limpio, cofia, guantes de nitrilo, cubrebocas, lentes de seguridad y calzado antiestático (ESD), conforme al ingreso a Cuarto Limpio ISO 7.</t>
        </is>
      </c>
      <c r="M11" s="58" t="inlineStr">
        <is>
          <t xml:space="preserve">16-AT40-3318-00008
16-AT40-3318-00009
16-AT40-3318-00010
16-AT40-3318-00011
16-AT40-3318-00021
16-AT40-3318-00024
16-AT40-3318-00025
(Front Assy Moose: numero de AV pendiente de confirmar, ilegible en la imagen enviada)</t>
        </is>
      </c>
      <c r="N11" s="57" t="inlineStr">
        <is>
          <t xml:space="preserve">EHS / Automation</t>
        </is>
      </c>
      <c r="O11" s="49" t="inlineStr">
        <is>
          <t xml:space="preserve">4</t>
        </is>
      </c>
      <c r="P11" s="61">
        <f t="shared" si="4"/>
        <v>0</v>
      </c>
      <c r="Q11" s="60">
        <f t="shared" si="5"/>
        <v>0</v>
      </c>
      <c r="R11" s="57"/>
      <c r="S11" s="57"/>
    </row>
    <row r="12" spans="1:19" x14ac:dyDescent="0.2">
      <c r="A12" s="55" t="inlineStr">
        <is>
          <t xml:space="preserve">Rutinario</t>
        </is>
      </c>
      <c r="B12" s="55" t="inlineStr">
        <is>
          <t xml:space="preserve">Verificación Poka Yoke de presencia/orientación de la pieza</t>
        </is>
      </c>
      <c r="C12" s="56" t="inlineStr">
        <is>
          <t xml:space="preserve">El sensor/pin Poka Yoke de la fixtura verifica que la pieza esté correctamente orientada; contacto accidental al cargar</t>
        </is>
      </c>
      <c r="D12" s="56" t="inlineStr">
        <is>
          <t xml:space="preserve">Mecanico</t>
        </is>
      </c>
      <c r="E12" s="49" t="inlineStr">
        <is>
          <t xml:space="preserve">Partes móviles</t>
        </is>
      </c>
      <c r="F12" s="49" t="inlineStr">
        <is>
          <t xml:space="preserve">Laceración</t>
        </is>
      </c>
      <c r="G12" s="56" t="inlineStr">
        <is>
          <t xml:space="preserve">Control</t>
        </is>
      </c>
      <c r="H12" s="57" t="inlineStr">
        <is>
          <t xml:space="preserve">1</t>
        </is>
      </c>
      <c r="I12" s="57" t="inlineStr">
        <is>
          <t xml:space="preserve">1</t>
        </is>
      </c>
      <c r="J12" s="51">
        <f t="shared" si="3"/>
        <v>0</v>
      </c>
      <c r="K12" s="107" t="inlineStr">
        <is>
          <t xml:space="preserve">Resguardos mecánicos</t>
        </is>
      </c>
      <c r="L12" s="58" t="inlineStr">
        <is>
          <t xml:space="preserve">Traje de cuarto limpio, cofia, guantes de nitrilo, cubrebocas, lentes de seguridad y calzado antiestático (ESD), conforme al ingreso a Cuarto Limpio ISO 7.</t>
        </is>
      </c>
      <c r="M12" s="58" t="inlineStr">
        <is>
          <t xml:space="preserve">16-AT40-3318-00008
16-AT40-3318-00009
16-AT40-3318-00010
16-AT40-3318-00011
16-AT40-3318-00021
16-AT40-3318-00024
16-AT40-3318-00025
(Front Assy Moose: numero de AV pendiente de confirmar, ilegible en la imagen enviada)</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Rutinario</t>
        </is>
      </c>
      <c r="B13" s="55" t="inlineStr">
        <is>
          <t xml:space="preserve">Lectura de código con escáner fijo</t>
        </is>
      </c>
      <c r="C13" s="56" t="inlineStr">
        <is>
          <t xml:space="preserve">El escáner fijo lee el código de la pieza/etiqueta antes o durante el ciclo</t>
        </is>
      </c>
      <c r="D13" s="56" t="inlineStr">
        <is>
          <t xml:space="preserve">Mecanico</t>
        </is>
      </c>
      <c r="E13" s="49" t="inlineStr">
        <is>
          <t xml:space="preserve">Partes móviles</t>
        </is>
      </c>
      <c r="F13" s="49" t="inlineStr">
        <is>
          <t xml:space="preserve">Laceración</t>
        </is>
      </c>
      <c r="G13" s="56" t="inlineStr">
        <is>
          <t xml:space="preserve">Control</t>
        </is>
      </c>
      <c r="H13" s="57" t="inlineStr">
        <is>
          <t xml:space="preserve">1</t>
        </is>
      </c>
      <c r="I13" s="57" t="inlineStr">
        <is>
          <t xml:space="preserve">1</t>
        </is>
      </c>
      <c r="J13" s="51">
        <f t="shared" si="3"/>
        <v>0</v>
      </c>
      <c r="K13" s="107" t="inlineStr">
        <is>
          <t xml:space="preserve">Resguardos mecánicos</t>
        </is>
      </c>
      <c r="L13" s="58" t="inlineStr">
        <is>
          <t xml:space="preserve">Traje de cuarto limpio, cofia, guantes de nitrilo, cubrebocas, lentes de seguridad y calzado antiestático (ESD), conforme al ingreso a Cuarto Limpio ISO 7.</t>
        </is>
      </c>
      <c r="M13" s="58" t="inlineStr">
        <is>
          <t xml:space="preserve">16-AT40-3318-00008
16-AT40-3318-00009
16-AT40-3318-00010
16-AT40-3318-00011
16-AT40-3318-00021
16-AT40-3318-00024
16-AT40-3318-00025
(Front Assy Moose: numero de AV pendiente de confirmar, ilegible en la imagen enviada)</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Rutinario</t>
        </is>
      </c>
      <c r="B14" s="55" t="inlineStr">
        <is>
          <t xml:space="preserve">Islas de conexión eléctrica (alimentación y sensores)</t>
        </is>
      </c>
      <c r="C14" s="56" t="inlineStr">
        <is>
          <t xml:space="preserve">Las islas/bloques de conexión eléctrica quedan accesibles en el área de trabajo durante la operación normal</t>
        </is>
      </c>
      <c r="D14" s="56" t="inlineStr">
        <is>
          <t xml:space="preserve">Eléctrico</t>
        </is>
      </c>
      <c r="E14" s="49" t="inlineStr">
        <is>
          <t xml:space="preserve">Conductores energizados</t>
        </is>
      </c>
      <c r="F14" s="49" t="inlineStr">
        <is>
          <t xml:space="preserve">Electrocución</t>
        </is>
      </c>
      <c r="G14" s="56" t="inlineStr">
        <is>
          <t xml:space="preserve">Control</t>
        </is>
      </c>
      <c r="H14" s="57" t="inlineStr">
        <is>
          <t xml:space="preserve">2</t>
        </is>
      </c>
      <c r="I14" s="57" t="inlineStr">
        <is>
          <t xml:space="preserve">1</t>
        </is>
      </c>
      <c r="J14" s="51">
        <f t="shared" si="3"/>
        <v>0</v>
      </c>
      <c r="K14" s="107" t="inlineStr">
        <is>
          <t xml:space="preserve">detección de voltaje</t>
        </is>
      </c>
      <c r="L14"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4" s="58" t="inlineStr">
        <is>
          <t xml:space="preserve">16-AT40-3318-00008
16-AT40-3318-00009
16-AT40-3318-00010
16-AT40-3318-00011
16-AT40-3318-00021
16-AT40-3318-00024
16-AT40-3318-00025
(Front Assy Moose: numero de AV pendiente de confirmar, ilegible en la imagen enviada)</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Rutinario</t>
        </is>
      </c>
      <c r="B15" s="55" t="inlineStr">
        <is>
          <t xml:space="preserve">Contacto con partes neumáticas (pistones de fixtura, en las estaciones que los tienen)</t>
        </is>
      </c>
      <c r="C15" s="56" t="inlineStr">
        <is>
          <t xml:space="preserve">Algunas fixturas usan pistones neumáticos para bloqueo de pieza; contacto con el mecanismo durante la carga/descarga</t>
        </is>
      </c>
      <c r="D15" s="56" t="inlineStr">
        <is>
          <t xml:space="preserve">Mecanico</t>
        </is>
      </c>
      <c r="E15" s="49" t="inlineStr">
        <is>
          <t xml:space="preserve">Partes móviles</t>
        </is>
      </c>
      <c r="F15" s="49" t="inlineStr">
        <is>
          <t xml:space="preserve">Atrapamiento</t>
        </is>
      </c>
      <c r="G15" s="56" t="inlineStr">
        <is>
          <t xml:space="preserve">Control</t>
        </is>
      </c>
      <c r="H15" s="57" t="inlineStr">
        <is>
          <t xml:space="preserve">2</t>
        </is>
      </c>
      <c r="I15" s="57" t="inlineStr">
        <is>
          <t xml:space="preserve">2</t>
        </is>
      </c>
      <c r="J15" s="51">
        <f t="shared" si="3"/>
        <v>0</v>
      </c>
      <c r="K15" s="107" t="inlineStr">
        <is>
          <t xml:space="preserve">sensores</t>
        </is>
      </c>
      <c r="L15" s="58" t="inlineStr">
        <is>
          <t xml:space="preserve">Traje de cuarto limpio, cofia, guantes de nitrilo, cubrebocas, lentes de seguridad y calzado antiestático (ESD), conforme al ingreso a Cuarto Limpio ISO 7.</t>
        </is>
      </c>
      <c r="M15" s="58" t="inlineStr">
        <is>
          <t xml:space="preserve">16-AT40-3318-00008
16-AT40-3318-00009
16-AT40-3318-00010
16-AT40-3318-00011
16-AT40-3318-00021
16-AT40-3318-00024
16-AT40-3318-00025
(Front Assy Moose: numero de AV pendiente de confirmar, ilegible en la imagen enviada)</t>
        </is>
      </c>
      <c r="N15" s="57" t="inlineStr">
        <is>
          <t xml:space="preserve">EHS / Automation</t>
        </is>
      </c>
      <c r="O15" s="49" t="inlineStr">
        <is>
          <t xml:space="preserve">3</t>
        </is>
      </c>
      <c r="P15" s="61">
        <f t="shared" si="4"/>
        <v>0</v>
      </c>
      <c r="Q15" s="60">
        <f t="shared" si="5"/>
        <v>0</v>
      </c>
      <c r="R15" s="57"/>
      <c r="S15" s="57"/>
    </row>
    <row r="16" spans="1:19" x14ac:dyDescent="0.2">
      <c r="A16" s="55" t="inlineStr">
        <is>
          <t xml:space="preserve">Rutinario</t>
        </is>
      </c>
      <c r="B16" s="55" t="inlineStr">
        <is>
          <t xml:space="preserve">Abastecimiento de material e insumos (tornillos, piezas)</t>
        </is>
      </c>
      <c r="C16" s="56" t="inlineStr">
        <is>
          <t xml:space="preserve">El operador retira el contenedor/charola vacía y coloca uno nuevo con tornillos o piezas de entrada</t>
        </is>
      </c>
      <c r="D16" s="56" t="inlineStr">
        <is>
          <t xml:space="preserve">Ergonomía</t>
        </is>
      </c>
      <c r="E16" s="49" t="inlineStr">
        <is>
          <t xml:space="preserve">Levantamiento manual</t>
        </is>
      </c>
      <c r="F16" s="49" t="inlineStr">
        <is>
          <t xml:space="preserve">Lumbalgia</t>
        </is>
      </c>
      <c r="G16" s="56" t="inlineStr">
        <is>
          <t xml:space="preserve">Influencia</t>
        </is>
      </c>
      <c r="H16" s="57" t="inlineStr">
        <is>
          <t xml:space="preserve">2</t>
        </is>
      </c>
      <c r="I16" s="57" t="inlineStr">
        <is>
          <t xml:space="preserve">2</t>
        </is>
      </c>
      <c r="J16" s="51">
        <f t="shared" si="3"/>
        <v>0</v>
      </c>
      <c r="K16" s="107" t="inlineStr">
        <is>
          <t xml:space="preserve">Técnica adecuada</t>
        </is>
      </c>
      <c r="L16" s="58" t="inlineStr">
        <is>
          <t xml:space="preserve">Traje de cuarto limpio, cofia, guantes de nitrilo, cubrebocas, lentes de seguridad y calzado antiestático (ESD), conforme al ingreso a Cuarto Limpio ISO 7.</t>
        </is>
      </c>
      <c r="M16" s="58" t="inlineStr">
        <is>
          <t xml:space="preserve">16-AT40-3318-00008
16-AT40-3318-00009
16-AT40-3318-00010
16-AT40-3318-00011
16-AT40-3318-00021
16-AT40-3318-00024
16-AT40-3318-00025
(Front Assy Moose: numero de AV pendiente de confirmar, ilegible en la imagen enviada)</t>
        </is>
      </c>
      <c r="N16" s="57" t="inlineStr">
        <is>
          <t xml:space="preserve">EHS / Automation</t>
        </is>
      </c>
      <c r="O16" s="49" t="inlineStr">
        <is>
          <t xml:space="preserve">4</t>
        </is>
      </c>
      <c r="P16" s="61">
        <f t="shared" si="4"/>
        <v>0</v>
      </c>
      <c r="Q16" s="60">
        <f t="shared" si="5"/>
        <v>0</v>
      </c>
      <c r="R16" s="57"/>
      <c r="S16" s="57"/>
    </row>
    <row r="17" spans="1:19" x14ac:dyDescent="0.2">
      <c r="A17" s="55" t="inlineStr">
        <is>
          <t xml:space="preserve">Rutinario</t>
        </is>
      </c>
      <c r="B17" s="55" t="inlineStr">
        <is>
          <t xml:space="preserve">Exposición a ruido del atornillador eléctrico en uso</t>
        </is>
      </c>
      <c r="C17" s="56" t="inlineStr">
        <is>
          <t xml:space="preserve">El atornillador eléctrico manual genera ruido durante el apriete de tornillos a lo largo del turno</t>
        </is>
      </c>
      <c r="D17" s="56" t="inlineStr">
        <is>
          <t xml:space="preserve">Mecanico</t>
        </is>
      </c>
      <c r="E17" s="49" t="inlineStr">
        <is>
          <t xml:space="preserve">Ruido</t>
        </is>
      </c>
      <c r="F17" s="49" t="inlineStr">
        <is>
          <t xml:space="preserve">Hipoacusia</t>
        </is>
      </c>
      <c r="G17" s="56" t="inlineStr">
        <is>
          <t xml:space="preserve">Control</t>
        </is>
      </c>
      <c r="H17" s="57" t="inlineStr">
        <is>
          <t xml:space="preserve">1</t>
        </is>
      </c>
      <c r="I17" s="57" t="inlineStr">
        <is>
          <t xml:space="preserve">2</t>
        </is>
      </c>
      <c r="J17" s="51">
        <f t="shared" si="3"/>
        <v>0</v>
      </c>
      <c r="K17" s="107" t="inlineStr">
        <is>
          <t xml:space="preserve">tapones auditivos</t>
        </is>
      </c>
      <c r="L17" s="58" t="inlineStr">
        <is>
          <t xml:space="preserve">Traje de cuarto limpio, cofia, guantes de nitrilo, cubrebocas, lentes de seguridad y calzado antiestático (ESD), conforme al ingreso a Cuarto Limpio ISO 7. Adicional: protección auditiva (tapones) por uso del atornillador eléctrico.</t>
        </is>
      </c>
      <c r="M17" s="58" t="inlineStr">
        <is>
          <t xml:space="preserve">16-AT40-3318-00008
16-AT40-3318-00009
16-AT40-3318-00010
16-AT40-3318-00011
16-AT40-3318-00021
16-AT40-3318-00024
16-AT40-3318-00025
(Front Assy Moose: numero de AV pendiente de confirmar, ilegible en la imagen enviada)</t>
        </is>
      </c>
      <c r="N17" s="57" t="inlineStr">
        <is>
          <t xml:space="preserve">EHS / Automation</t>
        </is>
      </c>
      <c r="O17" s="49" t="inlineStr">
        <is>
          <t xml:space="preserve">5</t>
        </is>
      </c>
      <c r="P17" s="61">
        <f t="shared" si="4"/>
        <v>0</v>
      </c>
      <c r="Q17" s="60">
        <f t="shared" si="5"/>
        <v>0</v>
      </c>
      <c r="R17" s="57"/>
      <c r="S17" s="57"/>
    </row>
    <row r="18" spans="1:19" x14ac:dyDescent="0.2">
      <c r="A18" s="55" t="inlineStr">
        <is>
          <t xml:space="preserve">Rutinario</t>
        </is>
      </c>
      <c r="B18" s="55" t="inlineStr">
        <is>
          <t xml:space="preserve">Vibración de mano-brazo por uso del atornillador manual</t>
        </is>
      </c>
      <c r="C18" s="56" t="inlineStr">
        <is>
          <t xml:space="preserve">El operador sostiene y opera el atornillador manual de forma repetitiva durante el turno</t>
        </is>
      </c>
      <c r="D18" s="56" t="inlineStr">
        <is>
          <t xml:space="preserve">Mecanico</t>
        </is>
      </c>
      <c r="E18" s="49" t="inlineStr">
        <is>
          <t xml:space="preserve">Vibración</t>
        </is>
      </c>
      <c r="F18" s="49" t="inlineStr">
        <is>
          <t xml:space="preserve">Entumecimiento</t>
        </is>
      </c>
      <c r="G18" s="56" t="inlineStr">
        <is>
          <t xml:space="preserve">Influencia</t>
        </is>
      </c>
      <c r="H18" s="57" t="inlineStr">
        <is>
          <t xml:space="preserve">1</t>
        </is>
      </c>
      <c r="I18" s="57" t="inlineStr">
        <is>
          <t xml:space="preserve">2</t>
        </is>
      </c>
      <c r="J18" s="51">
        <f t="shared" si="3"/>
        <v>0</v>
      </c>
      <c r="K18" s="107" t="inlineStr">
        <is>
          <t xml:space="preserve">rotación de tareas</t>
        </is>
      </c>
      <c r="L18" s="58" t="inlineStr">
        <is>
          <t xml:space="preserve">Traje de cuarto limpio, cofia, guantes de nitrilo, cubrebocas, lentes de seguridad y calzado antiestático (ESD), conforme al ingreso a Cuarto Limpio ISO 7.</t>
        </is>
      </c>
      <c r="M18" s="58" t="inlineStr">
        <is>
          <t xml:space="preserve">16-AT40-3318-00008
16-AT40-3318-00009
16-AT40-3318-00010
16-AT40-3318-00011
16-AT40-3318-00021
16-AT40-3318-00024
16-AT40-3318-00025
(Front Assy Moose: numero de AV pendiente de confirmar, ilegible en la imagen enviada)</t>
        </is>
      </c>
      <c r="N18" s="57" t="inlineStr">
        <is>
          <t xml:space="preserve">EHS / Automation</t>
        </is>
      </c>
      <c r="O18" s="49" t="inlineStr">
        <is>
          <t xml:space="preserve">4</t>
        </is>
      </c>
      <c r="P18" s="61">
        <f t="shared" si="4"/>
        <v>0</v>
      </c>
      <c r="Q18" s="60">
        <f t="shared" si="5"/>
        <v>0</v>
      </c>
      <c r="R18" s="57"/>
      <c r="S18" s="57"/>
    </row>
    <row r="19" spans="1:19" x14ac:dyDescent="0.2">
      <c r="A19" s="55" t="inlineStr">
        <is>
          <t xml:space="preserve">No rutinario</t>
        </is>
      </c>
      <c r="B19" s="55" t="inlineStr">
        <is>
          <t xml:space="preserve">Arranque de la estación al inicio de turno</t>
        </is>
      </c>
      <c r="C19" s="56" t="inlineStr">
        <is>
          <t xml:space="preserve">Paso 1 de 2: energiza el switch general de la estación</t>
        </is>
      </c>
      <c r="D19" s="56" t="inlineStr">
        <is>
          <t xml:space="preserve">Eléctrico</t>
        </is>
      </c>
      <c r="E19" s="49" t="inlineStr">
        <is>
          <t xml:space="preserve">Conductores energizados</t>
        </is>
      </c>
      <c r="F19" s="49" t="inlineStr">
        <is>
          <t xml:space="preserve">Electrocución</t>
        </is>
      </c>
      <c r="G19" s="56" t="inlineStr">
        <is>
          <t xml:space="preserve">Control</t>
        </is>
      </c>
      <c r="H19" s="57" t="inlineStr">
        <is>
          <t xml:space="preserve">2</t>
        </is>
      </c>
      <c r="I19" s="57" t="inlineStr">
        <is>
          <t xml:space="preserve">1</t>
        </is>
      </c>
      <c r="J19" s="51">
        <f t="shared" si="3"/>
        <v>0</v>
      </c>
      <c r="K19" s="107" t="inlineStr">
        <is>
          <t xml:space="preserve">LOTO</t>
        </is>
      </c>
      <c r="L19"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9"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19" s="57" t="inlineStr">
        <is>
          <t xml:space="preserve">EHS / Automation</t>
        </is>
      </c>
      <c r="O19" s="49" t="inlineStr">
        <is>
          <t xml:space="preserve">3</t>
        </is>
      </c>
      <c r="P19" s="61">
        <f t="shared" si="4"/>
        <v>0</v>
      </c>
      <c r="Q19" s="60">
        <f t="shared" si="5"/>
        <v>0</v>
      </c>
      <c r="R19" s="57"/>
      <c r="S19" s="57"/>
    </row>
    <row r="20" spans="1:19" x14ac:dyDescent="0.2">
      <c r="A20" s="55" t="inlineStr">
        <is>
          <t xml:space="preserve">No rutinario</t>
        </is>
      </c>
      <c r="B20" s="55" t="inlineStr">
        <is>
          <t xml:space="preserve">Arranque de la estación al inicio de turno</t>
        </is>
      </c>
      <c r="C20" s="56" t="inlineStr">
        <is>
          <t xml:space="preserve">Paso 2 de 2: verifica luces indicadoras/status y realiza un ciclo de prueba si la estación lo requiere, confirmando que el área esté despejada</t>
        </is>
      </c>
      <c r="D20" s="56" t="inlineStr">
        <is>
          <t xml:space="preserve">Mecanico</t>
        </is>
      </c>
      <c r="E20" s="49" t="inlineStr">
        <is>
          <t xml:space="preserve">Partes móviles</t>
        </is>
      </c>
      <c r="F20" s="49" t="inlineStr">
        <is>
          <t xml:space="preserve">Atrapamiento</t>
        </is>
      </c>
      <c r="G20" s="56" t="inlineStr">
        <is>
          <t xml:space="preserve">Control</t>
        </is>
      </c>
      <c r="H20" s="57" t="inlineStr">
        <is>
          <t xml:space="preserve">1</t>
        </is>
      </c>
      <c r="I20" s="57" t="inlineStr">
        <is>
          <t xml:space="preserve">1</t>
        </is>
      </c>
      <c r="J20" s="51">
        <f t="shared" si="3"/>
        <v>0</v>
      </c>
      <c r="K20" s="107" t="inlineStr">
        <is>
          <t xml:space="preserve">Resguardos mecánicos</t>
        </is>
      </c>
      <c r="L20" s="58" t="inlineStr">
        <is>
          <t xml:space="preserve">Traje de cuarto limpio, cofia, guantes de nitrilo, cubrebocas, lentes de seguridad y calzado antiestático (ESD), conforme al ingreso a Cuarto Limpio ISO 7.</t>
        </is>
      </c>
      <c r="M20" s="58" t="inlineStr">
        <is>
          <t xml:space="preserve">16-AT40-3318-00008
16-AT40-3318-00009
16-AT40-3318-00010
16-AT40-3318-00011
16-AT40-3318-00021
16-AT40-3318-00024
16-AT40-3318-00025
(Front Assy Moose: numero de AV pendiente de confirmar, ilegible en la imagen enviada)</t>
        </is>
      </c>
      <c r="N20" s="57" t="inlineStr">
        <is>
          <t xml:space="preserve">EHS / Automation</t>
        </is>
      </c>
      <c r="O20" s="49" t="inlineStr">
        <is>
          <t xml:space="preserve">3</t>
        </is>
      </c>
      <c r="P20" s="61">
        <f t="shared" si="4"/>
        <v>0</v>
      </c>
      <c r="Q20" s="60">
        <f t="shared" si="5"/>
        <v>0</v>
      </c>
      <c r="R20" s="57"/>
      <c r="S20" s="57"/>
    </row>
    <row r="21" spans="1:19" x14ac:dyDescent="0.2">
      <c r="A21" s="55" t="inlineStr">
        <is>
          <t xml:space="preserve">Emergencia </t>
        </is>
      </c>
      <c r="B21" s="55" t="inlineStr">
        <is>
          <t xml:space="preserve">Activación del botón de paro de emergencia ante una condición insegura</t>
        </is>
      </c>
      <c r="C21" s="56" t="inlineStr">
        <is>
          <t xml:space="preserve">El operador presiona el botón de paro de emergencia al detectar una condición insegura y notifica a su supervisor/mantenimiento</t>
        </is>
      </c>
      <c r="D21" s="56" t="inlineStr">
        <is>
          <t xml:space="preserve">Mecanico</t>
        </is>
      </c>
      <c r="E21" s="49" t="inlineStr">
        <is>
          <t xml:space="preserve">Partes móviles</t>
        </is>
      </c>
      <c r="F21" s="49" t="inlineStr">
        <is>
          <t xml:space="preserve">Atrapamiento</t>
        </is>
      </c>
      <c r="G21" s="56" t="inlineStr">
        <is>
          <t xml:space="preserve">Control</t>
        </is>
      </c>
      <c r="H21" s="57" t="inlineStr">
        <is>
          <t xml:space="preserve">1</t>
        </is>
      </c>
      <c r="I21" s="57" t="inlineStr">
        <is>
          <t xml:space="preserve">1</t>
        </is>
      </c>
      <c r="J21" s="51">
        <f t="shared" si="3"/>
        <v>0</v>
      </c>
      <c r="K21" s="107" t="inlineStr">
        <is>
          <t xml:space="preserve">sensores</t>
        </is>
      </c>
      <c r="L21" s="58" t="inlineStr">
        <is>
          <t xml:space="preserve">Traje de cuarto limpio, cofia, guantes de nitrilo, cubrebocas, lentes de seguridad y calzado antiestático (ESD), conforme al ingreso a Cuarto Limpio ISO 7.</t>
        </is>
      </c>
      <c r="M21" s="58" t="inlineStr">
        <is>
          <t xml:space="preserve">16-AT40-3318-00008
16-AT40-3318-00009
16-AT40-3318-00010
16-AT40-3318-00011
16-AT40-3318-00021
16-AT40-3318-00024
16-AT40-3318-00025
(Front Assy Moose: numero de AV pendiente de confirmar, ilegible en la imagen enviada)</t>
        </is>
      </c>
      <c r="N21" s="57" t="inlineStr">
        <is>
          <t xml:space="preserve">EHS / Automation</t>
        </is>
      </c>
      <c r="O21" s="49" t="inlineStr">
        <is>
          <t xml:space="preserve">3</t>
        </is>
      </c>
      <c r="P21" s="61">
        <f t="shared" si="4"/>
        <v>0</v>
      </c>
      <c r="Q21" s="60">
        <f t="shared" si="5"/>
        <v>0</v>
      </c>
      <c r="R21" s="57"/>
      <c r="S21" s="57"/>
    </row>
    <row r="22" spans="1:19" x14ac:dyDescent="0.2">
      <c r="A22" s="55" t="inlineStr">
        <is>
          <t xml:space="preserve">Emergencia </t>
        </is>
      </c>
      <c r="B22" s="55" t="inlineStr">
        <is>
          <t xml:space="preserve">Reinicio del equipo después de un paro de emergencia</t>
        </is>
      </c>
      <c r="C22" s="56" t="inlineStr">
        <is>
          <t xml:space="preserve">Personal autorizado identifica y corrige la causa del paro, verifica el área despejada antes de liberar el botón y reiniciar el ciclo</t>
        </is>
      </c>
      <c r="D22" s="56" t="inlineStr">
        <is>
          <t xml:space="preserve">Mecanico</t>
        </is>
      </c>
      <c r="E22" s="49" t="inlineStr">
        <is>
          <t xml:space="preserve">Partes móviles</t>
        </is>
      </c>
      <c r="F22" s="49" t="inlineStr">
        <is>
          <t xml:space="preserve">Atrapamiento</t>
        </is>
      </c>
      <c r="G22" s="56" t="inlineStr">
        <is>
          <t xml:space="preserve">Control</t>
        </is>
      </c>
      <c r="H22" s="57" t="inlineStr">
        <is>
          <t xml:space="preserve">2</t>
        </is>
      </c>
      <c r="I22" s="57" t="inlineStr">
        <is>
          <t xml:space="preserve">1</t>
        </is>
      </c>
      <c r="J22" s="51">
        <f t="shared" si="3"/>
        <v>0</v>
      </c>
      <c r="K22" s="107" t="inlineStr">
        <is>
          <t xml:space="preserve">LOTO</t>
        </is>
      </c>
      <c r="L22"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2"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2" s="57" t="inlineStr">
        <is>
          <t xml:space="preserve">EHS / Automation</t>
        </is>
      </c>
      <c r="O22" s="49" t="inlineStr">
        <is>
          <t xml:space="preserve">3</t>
        </is>
      </c>
      <c r="P22" s="61">
        <f t="shared" si="4"/>
        <v>0</v>
      </c>
      <c r="Q22" s="60">
        <f t="shared" si="5"/>
        <v>0</v>
      </c>
      <c r="R22" s="57"/>
      <c r="S22" s="57"/>
    </row>
    <row r="23" spans="1:19" x14ac:dyDescent="0.2">
      <c r="A23" s="55" t="inlineStr">
        <is>
          <t xml:space="preserve">No rutinario</t>
        </is>
      </c>
      <c r="B23" s="55" t="inlineStr">
        <is>
          <t xml:space="preserve">Mantenimiento mecánico - Cambio de motor del atornillador eléctrico manual</t>
        </is>
      </c>
      <c r="C23" s="56" t="inlineStr">
        <is>
          <t xml:space="preserve">El personal de mantenimiento bloquea y etiqueta (LOTO) el switch general antes de cambio de motor del atornillador eléctrico manual</t>
        </is>
      </c>
      <c r="D23" s="56" t="inlineStr">
        <is>
          <t xml:space="preserve">Mecanico</t>
        </is>
      </c>
      <c r="E23" s="49" t="inlineStr">
        <is>
          <t xml:space="preserve">Partes móviles</t>
        </is>
      </c>
      <c r="F23" s="49" t="inlineStr">
        <is>
          <t xml:space="preserve">Atrapamiento</t>
        </is>
      </c>
      <c r="G23" s="56" t="inlineStr">
        <is>
          <t xml:space="preserve">Control</t>
        </is>
      </c>
      <c r="H23" s="57" t="inlineStr">
        <is>
          <t xml:space="preserve">3</t>
        </is>
      </c>
      <c r="I23" s="57" t="inlineStr">
        <is>
          <t xml:space="preserve">2</t>
        </is>
      </c>
      <c r="J23" s="51">
        <f t="shared" si="3"/>
        <v>0</v>
      </c>
      <c r="K23" s="107" t="inlineStr">
        <is>
          <t xml:space="preserve">LOTO</t>
        </is>
      </c>
      <c r="L23"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3"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3" s="57" t="inlineStr">
        <is>
          <t xml:space="preserve">EHS / Automation</t>
        </is>
      </c>
      <c r="O23" s="49" t="inlineStr">
        <is>
          <t xml:space="preserve">3</t>
        </is>
      </c>
      <c r="P23" s="61">
        <f t="shared" si="4"/>
        <v>0</v>
      </c>
      <c r="Q23" s="60">
        <f t="shared" si="5"/>
        <v>0</v>
      </c>
      <c r="R23" s="57"/>
      <c r="S23" s="57"/>
    </row>
    <row r="24" spans="1:19" x14ac:dyDescent="0.2">
      <c r="A24" s="55" t="inlineStr">
        <is>
          <t xml:space="preserve">No rutinario</t>
        </is>
      </c>
      <c r="B24" s="55" t="inlineStr">
        <is>
          <t xml:space="preserve">Mantenimiento mecánico - Cambio de broca/bit del atornillador</t>
        </is>
      </c>
      <c r="C24" s="56" t="inlineStr">
        <is>
          <t xml:space="preserve">El personal de mantenimiento bloquea y etiqueta (LOTO) el switch general antes de cambio de broca/bit del atornillador</t>
        </is>
      </c>
      <c r="D24" s="56" t="inlineStr">
        <is>
          <t xml:space="preserve">Mecanico</t>
        </is>
      </c>
      <c r="E24" s="49" t="inlineStr">
        <is>
          <t xml:space="preserve">Partes móviles</t>
        </is>
      </c>
      <c r="F24" s="49" t="inlineStr">
        <is>
          <t xml:space="preserve">Atrapamiento</t>
        </is>
      </c>
      <c r="G24" s="56" t="inlineStr">
        <is>
          <t xml:space="preserve">Control</t>
        </is>
      </c>
      <c r="H24" s="57" t="inlineStr">
        <is>
          <t xml:space="preserve">2</t>
        </is>
      </c>
      <c r="I24" s="57" t="inlineStr">
        <is>
          <t xml:space="preserve">2</t>
        </is>
      </c>
      <c r="J24" s="51">
        <f t="shared" si="3"/>
        <v>0</v>
      </c>
      <c r="K24" s="107" t="inlineStr">
        <is>
          <t xml:space="preserve">LOTO</t>
        </is>
      </c>
      <c r="L24"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4"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4" s="57" t="inlineStr">
        <is>
          <t xml:space="preserve">EHS / Automation</t>
        </is>
      </c>
      <c r="O24" s="49" t="inlineStr">
        <is>
          <t xml:space="preserve">3</t>
        </is>
      </c>
      <c r="P24" s="61">
        <f t="shared" si="4"/>
        <v>0</v>
      </c>
      <c r="Q24" s="60">
        <f t="shared" si="5"/>
        <v>0</v>
      </c>
      <c r="R24" s="57"/>
      <c r="S24" s="57"/>
    </row>
    <row r="25" spans="1:19" x14ac:dyDescent="0.2">
      <c r="A25" s="55" t="inlineStr">
        <is>
          <t xml:space="preserve">No rutinario</t>
        </is>
      </c>
      <c r="B25" s="55" t="inlineStr">
        <is>
          <t xml:space="preserve">Mantenimiento mecánico - Cambio/ajuste de la fixtura (topes, seguros)</t>
        </is>
      </c>
      <c r="C25" s="56" t="inlineStr">
        <is>
          <t xml:space="preserve">El personal de mantenimiento bloquea y etiqueta (LOTO) el switch general antes de cambio/ajuste de la fixtura (topes, seguros)</t>
        </is>
      </c>
      <c r="D25" s="56" t="inlineStr">
        <is>
          <t xml:space="preserve">Mecanico</t>
        </is>
      </c>
      <c r="E25" s="49" t="inlineStr">
        <is>
          <t xml:space="preserve">Partes móviles</t>
        </is>
      </c>
      <c r="F25" s="49" t="inlineStr">
        <is>
          <t xml:space="preserve">Atrapamiento</t>
        </is>
      </c>
      <c r="G25" s="56" t="inlineStr">
        <is>
          <t xml:space="preserve">Control</t>
        </is>
      </c>
      <c r="H25" s="57" t="inlineStr">
        <is>
          <t xml:space="preserve">2</t>
        </is>
      </c>
      <c r="I25" s="57" t="inlineStr">
        <is>
          <t xml:space="preserve">1</t>
        </is>
      </c>
      <c r="J25" s="51">
        <f t="shared" si="3"/>
        <v>0</v>
      </c>
      <c r="K25" s="107" t="inlineStr">
        <is>
          <t xml:space="preserve">LOTO</t>
        </is>
      </c>
      <c r="L25"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5"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5" s="57" t="inlineStr">
        <is>
          <t xml:space="preserve">EHS / Automation</t>
        </is>
      </c>
      <c r="O25" s="49" t="inlineStr">
        <is>
          <t xml:space="preserve">3</t>
        </is>
      </c>
      <c r="P25" s="61">
        <f t="shared" si="4"/>
        <v>0</v>
      </c>
      <c r="Q25" s="60">
        <f t="shared" si="5"/>
        <v>0</v>
      </c>
      <c r="R25" s="57"/>
      <c r="S25" s="57"/>
    </row>
    <row r="26" spans="1:19" x14ac:dyDescent="0.2">
      <c r="A26" s="55" t="inlineStr">
        <is>
          <t xml:space="preserve">No rutinario</t>
        </is>
      </c>
      <c r="B26" s="55" t="inlineStr">
        <is>
          <t xml:space="preserve">Mantenimiento mecánico - Cambio de sensor Poka Yoke</t>
        </is>
      </c>
      <c r="C26" s="56" t="inlineStr">
        <is>
          <t xml:space="preserve">El personal de mantenimiento bloquea y etiqueta (LOTO) el switch general antes de cambio de sensor Poka Yoke</t>
        </is>
      </c>
      <c r="D26" s="56" t="inlineStr">
        <is>
          <t xml:space="preserve">Mecanico</t>
        </is>
      </c>
      <c r="E26" s="49" t="inlineStr">
        <is>
          <t xml:space="preserve">Partes móviles</t>
        </is>
      </c>
      <c r="F26" s="49" t="inlineStr">
        <is>
          <t xml:space="preserve">Atrapamiento</t>
        </is>
      </c>
      <c r="G26" s="56" t="inlineStr">
        <is>
          <t xml:space="preserve">Control</t>
        </is>
      </c>
      <c r="H26" s="57" t="inlineStr">
        <is>
          <t xml:space="preserve">2</t>
        </is>
      </c>
      <c r="I26" s="57" t="inlineStr">
        <is>
          <t xml:space="preserve">1</t>
        </is>
      </c>
      <c r="J26" s="51">
        <f t="shared" si="3"/>
        <v>0</v>
      </c>
      <c r="K26" s="107" t="inlineStr">
        <is>
          <t xml:space="preserve">LOTO</t>
        </is>
      </c>
      <c r="L26"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6"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6" s="57" t="inlineStr">
        <is>
          <t xml:space="preserve">EHS / Automation</t>
        </is>
      </c>
      <c r="O26" s="49" t="inlineStr">
        <is>
          <t xml:space="preserve">3</t>
        </is>
      </c>
      <c r="P26" s="61">
        <f t="shared" si="4"/>
        <v>0</v>
      </c>
      <c r="Q26" s="60">
        <f t="shared" si="5"/>
        <v>0</v>
      </c>
      <c r="R26" s="57"/>
      <c r="S26" s="57"/>
    </row>
    <row r="27" spans="1:19" x14ac:dyDescent="0.2">
      <c r="A27" s="55" t="inlineStr">
        <is>
          <t xml:space="preserve">No rutinario</t>
        </is>
      </c>
      <c r="B27" s="55" t="inlineStr">
        <is>
          <t xml:space="preserve">Mantenimiento mecánico - Cambio/calibración del escáner de código</t>
        </is>
      </c>
      <c r="C27" s="56" t="inlineStr">
        <is>
          <t xml:space="preserve">El personal de mantenimiento bloquea y etiqueta (LOTO) el switch general antes de cambio/calibración del escáner de código</t>
        </is>
      </c>
      <c r="D27" s="56" t="inlineStr">
        <is>
          <t xml:space="preserve">Mecanico</t>
        </is>
      </c>
      <c r="E27" s="49" t="inlineStr">
        <is>
          <t xml:space="preserve">Partes móviles</t>
        </is>
      </c>
      <c r="F27" s="49" t="inlineStr">
        <is>
          <t xml:space="preserve">Atrapamiento</t>
        </is>
      </c>
      <c r="G27" s="56" t="inlineStr">
        <is>
          <t xml:space="preserve">Control</t>
        </is>
      </c>
      <c r="H27" s="57" t="inlineStr">
        <is>
          <t xml:space="preserve">1</t>
        </is>
      </c>
      <c r="I27" s="57" t="inlineStr">
        <is>
          <t xml:space="preserve">1</t>
        </is>
      </c>
      <c r="J27" s="51">
        <f t="shared" si="3"/>
        <v>0</v>
      </c>
      <c r="K27" s="107" t="inlineStr">
        <is>
          <t xml:space="preserve">LOTO</t>
        </is>
      </c>
      <c r="L27"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7"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7" s="57" t="inlineStr">
        <is>
          <t xml:space="preserve">EHS / Automation</t>
        </is>
      </c>
      <c r="O27" s="49" t="inlineStr">
        <is>
          <t xml:space="preserve">3</t>
        </is>
      </c>
      <c r="P27" s="61">
        <f t="shared" si="4"/>
        <v>0</v>
      </c>
      <c r="Q27" s="60">
        <f t="shared" si="5"/>
        <v>0</v>
      </c>
      <c r="R27" s="57"/>
      <c r="S27" s="57"/>
    </row>
    <row r="28" spans="1:19" s="19" customFormat="1" x14ac:dyDescent="0.2">
      <c r="A28" s="55" t="inlineStr">
        <is>
          <t xml:space="preserve">No rutinario</t>
        </is>
      </c>
      <c r="B28" s="55" t="inlineStr">
        <is>
          <t xml:space="preserve">Mantenimiento mecánico - Cambio de cable/conector de alimentación del atornillador</t>
        </is>
      </c>
      <c r="C28" s="56" t="inlineStr">
        <is>
          <t xml:space="preserve">El personal de mantenimiento bloquea y etiqueta (LOTO) el switch general antes de cambio de cable/conector de alimentación del atornillador</t>
        </is>
      </c>
      <c r="D28" s="56" t="inlineStr">
        <is>
          <t xml:space="preserve">Mecanico</t>
        </is>
      </c>
      <c r="E28" s="49" t="inlineStr">
        <is>
          <t xml:space="preserve">Partes móviles</t>
        </is>
      </c>
      <c r="F28" s="49" t="inlineStr">
        <is>
          <t xml:space="preserve">Atrapamiento</t>
        </is>
      </c>
      <c r="G28" s="56" t="inlineStr">
        <is>
          <t xml:space="preserve">Control</t>
        </is>
      </c>
      <c r="H28" s="57" t="inlineStr">
        <is>
          <t xml:space="preserve">3</t>
        </is>
      </c>
      <c r="I28" s="57" t="inlineStr">
        <is>
          <t xml:space="preserve">1</t>
        </is>
      </c>
      <c r="J28" s="51">
        <f t="shared" si="3"/>
        <v>0</v>
      </c>
      <c r="K28" s="107" t="inlineStr">
        <is>
          <t xml:space="preserve">LOTO</t>
        </is>
      </c>
      <c r="L28"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8"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8" s="57" t="inlineStr">
        <is>
          <t xml:space="preserve">EHS / Automation</t>
        </is>
      </c>
      <c r="O28" s="49" t="inlineStr">
        <is>
          <t xml:space="preserve">3</t>
        </is>
      </c>
      <c r="P28" s="61">
        <f t="shared" si="4"/>
        <v>0</v>
      </c>
      <c r="Q28" s="60">
        <f t="shared" si="5"/>
        <v>0</v>
      </c>
      <c r="R28" s="57"/>
      <c r="S28" s="57"/>
    </row>
    <row r="29" spans="1:19" s="19" customFormat="1" x14ac:dyDescent="0.2">
      <c r="A29" s="55" t="inlineStr">
        <is>
          <t xml:space="preserve">No rutinario</t>
        </is>
      </c>
      <c r="B29" s="55" t="inlineStr">
        <is>
          <t xml:space="preserve">Mantenimiento neumático - cambio de manguera/cilindro de la fixtura</t>
        </is>
      </c>
      <c r="C29" s="56" t="inlineStr">
        <is>
          <t xml:space="preserve">El personal de mantenimiento despresuriza la línea y coloca el clip de bloqueo neumático tipo C portátil antes de intervenir cilindros o mangueras (estas fixturas no tienen válvula LOTO neumática integrada)</t>
        </is>
      </c>
      <c r="D29" s="56" t="inlineStr">
        <is>
          <t xml:space="preserve">Mecanico</t>
        </is>
      </c>
      <c r="E29" s="49" t="inlineStr">
        <is>
          <t xml:space="preserve">Sistema de presión</t>
        </is>
      </c>
      <c r="F29" s="49" t="inlineStr">
        <is>
          <t xml:space="preserve">Laceraciones</t>
        </is>
      </c>
      <c r="G29" s="56" t="inlineStr">
        <is>
          <t xml:space="preserve">Control</t>
        </is>
      </c>
      <c r="H29" s="57" t="inlineStr">
        <is>
          <t xml:space="preserve">2</t>
        </is>
      </c>
      <c r="I29" s="57" t="inlineStr">
        <is>
          <t xml:space="preserve">1</t>
        </is>
      </c>
      <c r="J29" s="51">
        <f t="shared" si="3"/>
        <v>0</v>
      </c>
      <c r="K29" s="107" t="inlineStr">
        <is>
          <t xml:space="preserve">Válvulas de alivio</t>
        </is>
      </c>
      <c r="L29" s="58" t="inlineStr">
        <is>
          <t xml:space="preserve">Traje de cuarto limpio, cofia, guantes de nitrilo, cubrebocas, lentes de seguridad y calzado antiestático (ESD), conforme al ingreso a Cuarto Limpio ISO 7. Adicional: usar clip de bloqueo neumático tipo C (candado + tarjeta) en el acople rápido de aire en las estaciones sin válvula LOTO integrada.</t>
        </is>
      </c>
      <c r="M29"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29" s="57" t="inlineStr">
        <is>
          <t xml:space="preserve">EHS / Automation</t>
        </is>
      </c>
      <c r="O29" s="49" t="inlineStr">
        <is>
          <t xml:space="preserve">3</t>
        </is>
      </c>
      <c r="P29" s="61">
        <f t="shared" si="4"/>
        <v>0</v>
      </c>
      <c r="Q29" s="60">
        <f t="shared" si="5"/>
        <v>0</v>
      </c>
      <c r="R29" s="57"/>
      <c r="S29" s="57"/>
    </row>
    <row r="30" spans="1:19" s="19" customFormat="1" x14ac:dyDescent="0.2">
      <c r="A30" s="55" t="inlineStr">
        <is>
          <t xml:space="preserve">No rutinario</t>
        </is>
      </c>
      <c r="B30" s="55" t="inlineStr">
        <is>
          <t xml:space="preserve">Mantenimiento neumático - limpieza/cambio de filtro regulador (FRL)</t>
        </is>
      </c>
      <c r="C30" s="56" t="inlineStr">
        <is>
          <t xml:space="preserve">El personal de mantenimiento despresuriza la línea antes de intervenir el filtro regulador de la estación</t>
        </is>
      </c>
      <c r="D30" s="56" t="inlineStr">
        <is>
          <t xml:space="preserve">Mecanico</t>
        </is>
      </c>
      <c r="E30" s="49" t="inlineStr">
        <is>
          <t xml:space="preserve">Sistema de presión</t>
        </is>
      </c>
      <c r="F30" s="49" t="inlineStr">
        <is>
          <t xml:space="preserve">Laceraciones</t>
        </is>
      </c>
      <c r="G30" s="56" t="inlineStr">
        <is>
          <t xml:space="preserve">Control</t>
        </is>
      </c>
      <c r="H30" s="57" t="inlineStr">
        <is>
          <t xml:space="preserve">2</t>
        </is>
      </c>
      <c r="I30" s="57" t="inlineStr">
        <is>
          <t xml:space="preserve">1</t>
        </is>
      </c>
      <c r="J30" s="51">
        <f t="shared" si="3"/>
        <v>0</v>
      </c>
      <c r="K30" s="107" t="inlineStr">
        <is>
          <t xml:space="preserve">Válvulas de alivio</t>
        </is>
      </c>
      <c r="L30" s="58" t="inlineStr">
        <is>
          <t xml:space="preserve">Traje de cuarto limpio, cofia, guantes de nitrilo, cubrebocas, lentes de seguridad y calzado antiestático (ESD), conforme al ingreso a Cuarto Limpio ISO 7. Adicional: usar clip de bloqueo neumático tipo C (candado + tarjeta) en el acople rápido de aire en las estaciones sin válvula LOTO integrada.</t>
        </is>
      </c>
      <c r="M30"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30" s="57" t="inlineStr">
        <is>
          <t xml:space="preserve">EHS / Automation</t>
        </is>
      </c>
      <c r="O30" s="49" t="inlineStr">
        <is>
          <t xml:space="preserve">3</t>
        </is>
      </c>
      <c r="P30" s="61">
        <f t="shared" si="4"/>
        <v>0</v>
      </c>
      <c r="Q30" s="60">
        <f t="shared" si="5"/>
        <v>0</v>
      </c>
      <c r="R30" s="57"/>
      <c r="S30" s="57"/>
    </row>
    <row r="31" spans="1:19" s="19" customFormat="1" x14ac:dyDescent="0.2">
      <c r="A31" s="55" t="inlineStr">
        <is>
          <t xml:space="preserve">No rutinario</t>
        </is>
      </c>
      <c r="B31" s="55" t="inlineStr">
        <is>
          <t xml:space="preserve">Mantenimiento correctivo eléctrico - Cambio de driver/tarjeta de control del atornillador</t>
        </is>
      </c>
      <c r="C31" s="56" t="inlineStr">
        <is>
          <t xml:space="preserve">El personal de mantenimiento bloquea y etiqueta (LOTO) el switch general, abre el gabinete eléctrico y realiza: cambio de driver/tarjeta de control del atornillador</t>
        </is>
      </c>
      <c r="D31" s="56" t="inlineStr">
        <is>
          <t xml:space="preserve">Eléctrico</t>
        </is>
      </c>
      <c r="E31" s="49" t="inlineStr">
        <is>
          <t xml:space="preserve">Conductores energizados</t>
        </is>
      </c>
      <c r="F31" s="49" t="inlineStr">
        <is>
          <t xml:space="preserve">Electrocución</t>
        </is>
      </c>
      <c r="G31" s="56" t="inlineStr">
        <is>
          <t xml:space="preserve">Control</t>
        </is>
      </c>
      <c r="H31" s="57" t="inlineStr">
        <is>
          <t xml:space="preserve">5</t>
        </is>
      </c>
      <c r="I31" s="57" t="inlineStr">
        <is>
          <t xml:space="preserve">1</t>
        </is>
      </c>
      <c r="J31" s="51">
        <f t="shared" si="3"/>
        <v>0</v>
      </c>
      <c r="K31" s="107" t="inlineStr">
        <is>
          <t xml:space="preserve">LOTO</t>
        </is>
      </c>
      <c r="L31"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1"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31" s="57" t="inlineStr">
        <is>
          <t xml:space="preserve">EHS / Automation</t>
        </is>
      </c>
      <c r="O31" s="49" t="inlineStr">
        <is>
          <t xml:space="preserve">3</t>
        </is>
      </c>
      <c r="P31" s="61">
        <f t="shared" si="4"/>
        <v>0</v>
      </c>
      <c r="Q31" s="60">
        <f t="shared" si="5"/>
        <v>0</v>
      </c>
      <c r="R31" s="57"/>
      <c r="S31" s="57"/>
    </row>
    <row r="32" spans="1:19" s="19" customFormat="1" x14ac:dyDescent="0.2">
      <c r="A32" s="55" t="inlineStr">
        <is>
          <t xml:space="preserve">No rutinario</t>
        </is>
      </c>
      <c r="B32" s="55" t="inlineStr">
        <is>
          <t xml:space="preserve">Mantenimiento correctivo eléctrico - Revisión/cambio de cableado y conectores</t>
        </is>
      </c>
      <c r="C32" s="56" t="inlineStr">
        <is>
          <t xml:space="preserve">El personal de mantenimiento bloquea y etiqueta (LOTO) el switch general, abre el gabinete eléctrico y realiza: revisión/cambio de cableado y conectores</t>
        </is>
      </c>
      <c r="D32" s="56" t="inlineStr">
        <is>
          <t xml:space="preserve">Eléctrico</t>
        </is>
      </c>
      <c r="E32" s="49" t="inlineStr">
        <is>
          <t xml:space="preserve">Conductores energizados</t>
        </is>
      </c>
      <c r="F32" s="49" t="inlineStr">
        <is>
          <t xml:space="preserve">Electrocución</t>
        </is>
      </c>
      <c r="G32" s="56" t="inlineStr">
        <is>
          <t xml:space="preserve">Control</t>
        </is>
      </c>
      <c r="H32" s="57" t="inlineStr">
        <is>
          <t xml:space="preserve">5</t>
        </is>
      </c>
      <c r="I32" s="57" t="inlineStr">
        <is>
          <t xml:space="preserve">1</t>
        </is>
      </c>
      <c r="J32" s="51">
        <f t="shared" si="3"/>
        <v>0</v>
      </c>
      <c r="K32" s="107" t="inlineStr">
        <is>
          <t xml:space="preserve">LOTO</t>
        </is>
      </c>
      <c r="L32"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2"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32" s="57" t="inlineStr">
        <is>
          <t xml:space="preserve">EHS / Automation</t>
        </is>
      </c>
      <c r="O32" s="49" t="inlineStr">
        <is>
          <t xml:space="preserve">3</t>
        </is>
      </c>
      <c r="P32" s="61">
        <f t="shared" si="4"/>
        <v>0</v>
      </c>
      <c r="Q32" s="60">
        <f t="shared" si="5"/>
        <v>0</v>
      </c>
      <c r="R32" s="57"/>
      <c r="S32" s="57"/>
    </row>
    <row r="33" spans="1:19" s="19" customFormat="1" x14ac:dyDescent="0.2">
      <c r="A33" s="55" t="inlineStr">
        <is>
          <t xml:space="preserve">No rutinario</t>
        </is>
      </c>
      <c r="B33" s="55" t="inlineStr">
        <is>
          <t xml:space="preserve">Mantenimiento correctivo eléctrico - diagnóstico general de gabinete</t>
        </is>
      </c>
      <c r="C33" s="56" t="inlineStr">
        <is>
          <t xml:space="preserve">El personal de mantenimiento abre el panel/gabinete eléctrico de la estación para diagnóstico de falla</t>
        </is>
      </c>
      <c r="D33" s="56" t="inlineStr">
        <is>
          <t xml:space="preserve">Eléctrico</t>
        </is>
      </c>
      <c r="E33" s="49" t="inlineStr">
        <is>
          <t xml:space="preserve">Conductores energizados</t>
        </is>
      </c>
      <c r="F33" s="49" t="inlineStr">
        <is>
          <t xml:space="preserve">Electrocución</t>
        </is>
      </c>
      <c r="G33" s="56" t="inlineStr">
        <is>
          <t xml:space="preserve">Control</t>
        </is>
      </c>
      <c r="H33" s="57" t="inlineStr">
        <is>
          <t xml:space="preserve">5</t>
        </is>
      </c>
      <c r="I33" s="57" t="inlineStr">
        <is>
          <t xml:space="preserve">2</t>
        </is>
      </c>
      <c r="J33" s="51">
        <f t="shared" si="3"/>
        <v>0</v>
      </c>
      <c r="K33" s="107" t="inlineStr">
        <is>
          <t xml:space="preserve">LOTO</t>
        </is>
      </c>
      <c r="L33"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3" s="58" t="inlineStr">
        <is>
          <t xml:space="preserve">Procedimiento LOTO general de la estación: 16-HS20-8000-00017. 16-AT40-3318-00008
16-AT40-3318-00009
16-AT40-3318-00010
16-AT40-3318-00011
16-AT40-3318-00021
16-AT40-3318-00024
16-AT40-3318-00025
(Front Assy Moose: numero de AV pendiente de confirmar, ilegible en la imagen enviada)</t>
        </is>
      </c>
      <c r="N33" s="57" t="inlineStr">
        <is>
          <t xml:space="preserve">EHS / Automation</t>
        </is>
      </c>
      <c r="O33" s="49" t="inlineStr">
        <is>
          <t xml:space="preserve">3</t>
        </is>
      </c>
      <c r="P33" s="61">
        <f t="shared" si="4"/>
        <v>0</v>
      </c>
      <c r="Q33" s="60">
        <f t="shared" si="5"/>
        <v>0</v>
      </c>
      <c r="R33" s="57"/>
      <c r="S33" s="57"/>
    </row>
    <row r="34" spans="1:19" s="19" customFormat="1" x14ac:dyDescent="0.2">
      <c r="A34" s="55" t="inlineStr">
        <is>
          <t xml:space="preserve">No rutinario</t>
        </is>
      </c>
      <c r="B34" s="55" t="inlineStr">
        <is>
          <t xml:space="preserve">Uso de herramientas manuales durante ajustes mecánicos</t>
        </is>
      </c>
      <c r="C34" s="56" t="inlineStr">
        <is>
          <t xml:space="preserve">El personal de mantenimiento usa llaves, desarmadores y otras herramientas manuales para los ajustes descritos arriba</t>
        </is>
      </c>
      <c r="D34" s="56" t="inlineStr">
        <is>
          <t xml:space="preserve">Herramientas</t>
        </is>
      </c>
      <c r="E34" s="49" t="inlineStr">
        <is>
          <t xml:space="preserve">Herramientas manuales</t>
        </is>
      </c>
      <c r="F34" s="49" t="inlineStr">
        <is>
          <t xml:space="preserve">Golpes</t>
        </is>
      </c>
      <c r="G34" s="56" t="inlineStr">
        <is>
          <t xml:space="preserve">Control</t>
        </is>
      </c>
      <c r="H34" s="57" t="inlineStr">
        <is>
          <t xml:space="preserve">1</t>
        </is>
      </c>
      <c r="I34" s="57" t="inlineStr">
        <is>
          <t xml:space="preserve">1</t>
        </is>
      </c>
      <c r="J34" s="51">
        <f t="shared" si="3"/>
        <v>0</v>
      </c>
      <c r="K34" s="107" t="inlineStr">
        <is>
          <t xml:space="preserve">Capacitación</t>
        </is>
      </c>
      <c r="L34" s="58" t="inlineStr">
        <is>
          <t xml:space="preserve">Traje de cuarto limpio, cofia, guantes de nitrilo, cubrebocas, lentes de seguridad y calzado antiestático (ESD), conforme al ingreso a Cuarto Limpio ISO 7.</t>
        </is>
      </c>
      <c r="M34" s="58" t="inlineStr">
        <is>
          <t xml:space="preserve">16-AT40-3318-00008
16-AT40-3318-00009
16-AT40-3318-00010
16-AT40-3318-00011
16-AT40-3318-00021
16-AT40-3318-00024
16-AT40-3318-00025
(Front Assy Moose: numero de AV pendiente de confirmar, ilegible en la imagen enviada)</t>
        </is>
      </c>
      <c r="N34" s="57" t="inlineStr">
        <is>
          <t xml:space="preserve">EHS / Automation</t>
        </is>
      </c>
      <c r="O34" s="49" t="inlineStr">
        <is>
          <t xml:space="preserve">4</t>
        </is>
      </c>
      <c r="P34" s="61">
        <f t="shared" si="4"/>
        <v>0</v>
      </c>
      <c r="Q34" s="60">
        <f t="shared" si="5"/>
        <v>0</v>
      </c>
      <c r="R34" s="57"/>
      <c r="S34" s="57"/>
    </row>
    <row r="35" spans="1:19" s="19" customFormat="1" x14ac:dyDescent="0.2">
      <c r="A35" s="55" t="inlineStr">
        <is>
          <t xml:space="preserve">No rutinario</t>
        </is>
      </c>
      <c r="B35" s="55" t="inlineStr">
        <is>
          <t xml:space="preserve">Uso de aire comprimido para limpieza del equipo</t>
        </is>
      </c>
      <c r="C35" s="56" t="inlineStr">
        <is>
          <t xml:space="preserve">El personal de mantenimiento usa pistola de aire comprimido para limpiar polvo/residuos de la fixtura y el gabinete</t>
        </is>
      </c>
      <c r="D35" s="56" t="inlineStr">
        <is>
          <t xml:space="preserve">Herramientas</t>
        </is>
      </c>
      <c r="E35" s="49" t="inlineStr">
        <is>
          <t xml:space="preserve">Partículas expulsadas</t>
        </is>
      </c>
      <c r="F35" s="49" t="inlineStr">
        <is>
          <t xml:space="preserve">Lesión ocular</t>
        </is>
      </c>
      <c r="G35" s="56" t="inlineStr">
        <is>
          <t xml:space="preserve">Control</t>
        </is>
      </c>
      <c r="H35" s="57" t="inlineStr">
        <is>
          <t xml:space="preserve">1</t>
        </is>
      </c>
      <c r="I35" s="57" t="inlineStr">
        <is>
          <t xml:space="preserve">2</t>
        </is>
      </c>
      <c r="J35" s="51">
        <f t="shared" si="3"/>
        <v>0</v>
      </c>
      <c r="K35" s="107" t="inlineStr">
        <is>
          <t xml:space="preserve">Gafas</t>
        </is>
      </c>
      <c r="L35" s="58" t="inlineStr">
        <is>
          <t xml:space="preserve">Traje de cuarto limpio, cofia, guantes de nitrilo, cubrebocas, lentes de seguridad y calzado antiestático (ESD), conforme al ingreso a Cuarto Limpio ISO 7.</t>
        </is>
      </c>
      <c r="M35" s="58" t="inlineStr">
        <is>
          <t xml:space="preserve">16-AT40-3318-00008
16-AT40-3318-00009
16-AT40-3318-00010
16-AT40-3318-00011
16-AT40-3318-00021
16-AT40-3318-00024
16-AT40-3318-00025
(Front Assy Moose: numero de AV pendiente de confirmar, ilegible en la imagen enviada)</t>
        </is>
      </c>
      <c r="N35" s="57" t="inlineStr">
        <is>
          <t xml:space="preserve">EHS / Automation</t>
        </is>
      </c>
      <c r="O35" s="49" t="inlineStr">
        <is>
          <t xml:space="preserve">4</t>
        </is>
      </c>
      <c r="P35" s="61">
        <f t="shared" si="4"/>
        <v>0</v>
      </c>
      <c r="Q35" s="60">
        <f t="shared" si="5"/>
        <v>0</v>
      </c>
      <c r="R35" s="57"/>
      <c r="S35" s="57"/>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35 P8:P35">
    <cfRule type="cellIs" dxfId="19" priority="2" operator="equal">
      <formula>0</formula>
    </cfRule>
  </conditionalFormatting>
  <conditionalFormatting sqref="J8:J35">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35">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35"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