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<sst xmlns="http://schemas.openxmlformats.org/spreadsheetml/2006/main" count="2563" uniqueCount="1242">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</sst>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3"/>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Kasalis PIXID 500 (embotellamiento compartido: SCORPION, MOOSE, GECKO, INFURROW)</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21/09/2026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Operación normal - rotación de la torna-mesa (4 estaciones)</t>
        </is>
      </c>
      <c r="C8" s="56" t="inlineStr">
        <is>
          <t xml:space="preserve">La torna-mesa gira mediante un motor de gran tamaño para posicionar cada estación frente a los gantries de dispensado/PnP</t>
        </is>
      </c>
      <c r="D8" s="56" t="inlineStr">
        <is>
          <t xml:space="preserve">Mecanico</t>
        </is>
      </c>
      <c r="E8" s="49" t="inlineStr">
        <is>
          <t xml:space="preserve">Partes móviles</t>
        </is>
      </c>
      <c r="F8" s="49" t="inlineStr">
        <is>
          <t xml:space="preserve">Atrapamiento</t>
        </is>
      </c>
      <c r="G8" s="56" t="inlineStr">
        <is>
          <t xml:space="preserve">Control</t>
        </is>
      </c>
      <c r="H8" s="57" t="inlineStr">
        <is>
          <t xml:space="preserve">3</t>
        </is>
      </c>
      <c r="I8" s="57" t="inlineStr">
        <is>
          <t xml:space="preserve">2</t>
        </is>
      </c>
      <c r="J8" s="51">
        <f t="shared" ref="J8" si="0">H8*I8</f>
        <v>0</v>
      </c>
      <c r="K8" s="107" t="inlineStr">
        <is>
          <t xml:space="preserve">sensores</t>
        </is>
      </c>
      <c r="L8" s="58" t="inlineStr">
        <is>
          <t xml:space="preserve">No se requiere EPP adicional; el control es por cortinas de seguridad e interlocks de puerta en el perímetro.</t>
        </is>
      </c>
      <c r="M8" s="58" t="inlineStr">
        <is>
          <t xml:space="preserve">SOP Operación Kasalis PIXID 500</t>
        </is>
      </c>
      <c r="N8" s="57" t="inlineStr">
        <is>
          <t xml:space="preserve">EHS / Automation</t>
        </is>
      </c>
      <c r="O8" s="49" t="inlineStr">
        <is>
          <t xml:space="preserve">3</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Operación normal - movimiento del mini-gantry dispensador (3 ejes)</t>
        </is>
      </c>
      <c r="C9" s="56" t="inlineStr">
        <is>
          <t xml:space="preserve">El gantry del dispensador se mueve para aplicar el químico (DELO) sobre la pieza en la estación correspondiente</t>
        </is>
      </c>
      <c r="D9" s="56" t="inlineStr">
        <is>
          <t xml:space="preserve">Mecanico</t>
        </is>
      </c>
      <c r="E9" s="49" t="inlineStr">
        <is>
          <t xml:space="preserve">Partes móviles</t>
        </is>
      </c>
      <c r="F9" s="49" t="inlineStr">
        <is>
          <t xml:space="preserve">Laceración</t>
        </is>
      </c>
      <c r="G9" s="56" t="inlineStr">
        <is>
          <t xml:space="preserve">Control</t>
        </is>
      </c>
      <c r="H9" s="57" t="inlineStr">
        <is>
          <t xml:space="preserve">3</t>
        </is>
      </c>
      <c r="I9" s="57" t="inlineStr">
        <is>
          <t xml:space="preserve">2</t>
        </is>
      </c>
      <c r="J9" s="51">
        <f t="shared" ref="J9:J27" si="3">H9*I9</f>
        <v>0</v>
      </c>
      <c r="K9" s="107" t="inlineStr">
        <is>
          <t xml:space="preserve">sensores</t>
        </is>
      </c>
      <c r="L9" s="58" t="inlineStr">
        <is>
          <t xml:space="preserve">No se requiere EPP adicional; el control es por cortinas de seguridad del perímetro.</t>
        </is>
      </c>
      <c r="M9" s="58" t="inlineStr">
        <is>
          <t xml:space="preserve">SOP Operación Kasalis PIXID 500</t>
        </is>
      </c>
      <c r="N9" s="57" t="inlineStr">
        <is>
          <t xml:space="preserve">EHS / Automation</t>
        </is>
      </c>
      <c r="O9" s="49" t="inlineStr">
        <is>
          <t xml:space="preserve">3</t>
        </is>
      </c>
      <c r="P9" s="61">
        <f t="shared" ref="P9:P27" si="4">IF(O9=5,(J9*1),IF(O9=4,(J9*0.85),IF(O9=3,(J9*0.15),IF(O9=2,(J9*0.05),IF(O9=1,(J9*-0.0000000000000001),(J9*1))))))</f>
        <v>0</v>
      </c>
      <c r="Q9" s="60">
        <f t="shared" ref="Q9:Q27" si="5">IF(J9=0,0,(P9-J9)/J9)</f>
        <v>0</v>
      </c>
      <c r="R9" s="57"/>
      <c r="S9" s="57"/>
    </row>
    <row r="10" spans="1:19" s="19" customFormat="1" x14ac:dyDescent="0.2">
      <c r="A10" s="55" t="inlineStr">
        <is>
          <t xml:space="preserve">Rutinario</t>
        </is>
      </c>
      <c r="B10" s="55" t="inlineStr">
        <is>
          <t xml:space="preserve">Operación normal - movimiento del mini-gantry PnP (3 ejes, gripper)</t>
        </is>
      </c>
      <c r="C10" s="56" t="inlineStr">
        <is>
          <t xml:space="preserve">El gantry del PnP mueve el gripper para tomar/colocar la pieza entre estaciones</t>
        </is>
      </c>
      <c r="D10" s="56" t="inlineStr">
        <is>
          <t xml:space="preserve">Mecanico</t>
        </is>
      </c>
      <c r="E10" s="49" t="inlineStr">
        <is>
          <t xml:space="preserve">Partes móviles</t>
        </is>
      </c>
      <c r="F10" s="49" t="inlineStr">
        <is>
          <t xml:space="preserve">Fractura</t>
        </is>
      </c>
      <c r="G10" s="56" t="inlineStr">
        <is>
          <t xml:space="preserve">Control</t>
        </is>
      </c>
      <c r="H10" s="57" t="inlineStr">
        <is>
          <t xml:space="preserve">3</t>
        </is>
      </c>
      <c r="I10" s="57" t="inlineStr">
        <is>
          <t xml:space="preserve">2</t>
        </is>
      </c>
      <c r="J10" s="51">
        <f t="shared" si="3"/>
        <v>0</v>
      </c>
      <c r="K10" s="107" t="inlineStr">
        <is>
          <t xml:space="preserve">sensores</t>
        </is>
      </c>
      <c r="L10" s="58" t="inlineStr">
        <is>
          <t xml:space="preserve">No se requiere EPP adicional; mismo set de cortinas de seguridad que protege torna-mesa y gantry dispensador.</t>
        </is>
      </c>
      <c r="M10" s="58" t="inlineStr">
        <is>
          <t xml:space="preserve">SOP Operación Kasalis PIXID 500</t>
        </is>
      </c>
      <c r="N10" s="57" t="inlineStr">
        <is>
          <t xml:space="preserve">EHS / Automation</t>
        </is>
      </c>
      <c r="O10" s="49" t="inlineStr">
        <is>
          <t xml:space="preserve">3</t>
        </is>
      </c>
      <c r="P10" s="61">
        <f t="shared" si="4"/>
        <v>0</v>
      </c>
      <c r="Q10" s="60">
        <f t="shared" si="5"/>
        <v>0</v>
      </c>
      <c r="R10" s="57"/>
      <c r="S10" s="57"/>
    </row>
    <row r="11" spans="1:19" s="19" customFormat="1" x14ac:dyDescent="0.2">
      <c r="A11" s="55" t="inlineStr">
        <is>
          <t xml:space="preserve">Rutinario</t>
        </is>
      </c>
      <c r="B11" s="55" t="inlineStr">
        <is>
          <t xml:space="preserve">Manejo de materiales - carga de pieza en la estación con contacto directo del operador</t>
        </is>
      </c>
      <c r="C11" s="56" t="inlineStr">
        <is>
          <t xml:space="preserve">El operador coloca la pieza en la estación de carga; al hacerlo se activa el pistón de clampeo que asegura la pieza. Es el punto de mayor riesgo de la máquina por el contacto directo del operador con el mecanismo.</t>
        </is>
      </c>
      <c r="D11" s="56" t="inlineStr">
        <is>
          <t xml:space="preserve">Mecanico</t>
        </is>
      </c>
      <c r="E11" s="49" t="inlineStr">
        <is>
          <t xml:space="preserve">Partes móviles</t>
        </is>
      </c>
      <c r="F11" s="49" t="inlineStr">
        <is>
          <t xml:space="preserve">Amputación</t>
        </is>
      </c>
      <c r="G11" s="56" t="inlineStr">
        <is>
          <t xml:space="preserve">Control</t>
        </is>
      </c>
      <c r="H11" s="57" t="inlineStr">
        <is>
          <t xml:space="preserve">4</t>
        </is>
      </c>
      <c r="I11" s="57" t="inlineStr">
        <is>
          <t xml:space="preserve">2</t>
        </is>
      </c>
      <c r="J11" s="51">
        <f t="shared" si="3"/>
        <v>0</v>
      </c>
      <c r="K11" s="107" t="inlineStr">
        <is>
          <t xml:space="preserve">sensores</t>
        </is>
      </c>
      <c r="L11" s="58" t="inlineStr">
        <is>
          <t xml:space="preserve">No se requiere EPP adicional; el control real es un dispositivo de control a dos manos en el punto de activación del clampeo (fuera del catálogo estándar de esta lista, documentado en el MRA).</t>
        </is>
      </c>
      <c r="M11" s="58" t="inlineStr">
        <is>
          <t xml:space="preserve">SOP Operación Kasalis PIXID 500</t>
        </is>
      </c>
      <c r="N11" s="57" t="inlineStr">
        <is>
          <t xml:space="preserve">EHS / Automation</t>
        </is>
      </c>
      <c r="O11" s="49" t="inlineStr">
        <is>
          <t xml:space="preserve">3</t>
        </is>
      </c>
      <c r="P11" s="61">
        <f t="shared" si="4"/>
        <v>0</v>
      </c>
      <c r="Q11" s="60">
        <f t="shared" si="5"/>
        <v>0</v>
      </c>
      <c r="R11" s="57"/>
      <c r="S11" s="57"/>
    </row>
    <row r="12" spans="1:19" x14ac:dyDescent="0.2">
      <c r="A12" s="55" t="inlineStr">
        <is>
          <t xml:space="preserve">Rutinario</t>
        </is>
      </c>
      <c r="B12" s="55" t="inlineStr">
        <is>
          <t xml:space="preserve">Operación normal - dispensación de químico (DELO) y limpieza de boquilla</t>
        </is>
      </c>
      <c r="C12" s="56" t="inlineStr">
        <is>
          <t xml:space="preserve">El dispensador aplica el químico sobre la pieza; el operador puede tener contacto con residuos durante limpieza de boquilla o cambio de cartucho</t>
        </is>
      </c>
      <c r="D12" s="56" t="inlineStr">
        <is>
          <t xml:space="preserve">Químicos</t>
        </is>
      </c>
      <c r="E12" s="49" t="inlineStr">
        <is>
          <t xml:space="preserve">Irritantes</t>
        </is>
      </c>
      <c r="F12" s="49" t="inlineStr">
        <is>
          <t xml:space="preserve">Dermatitis</t>
        </is>
      </c>
      <c r="G12" s="56" t="inlineStr">
        <is>
          <t xml:space="preserve">Influencia</t>
        </is>
      </c>
      <c r="H12" s="57" t="inlineStr">
        <is>
          <t xml:space="preserve">2</t>
        </is>
      </c>
      <c r="I12" s="57" t="inlineStr">
        <is>
          <t xml:space="preserve">2</t>
        </is>
      </c>
      <c r="J12" s="51">
        <f t="shared" si="3"/>
        <v>0</v>
      </c>
      <c r="K12" s="107" t="inlineStr">
        <is>
          <t xml:space="preserve">Guantes</t>
        </is>
      </c>
      <c r="L12" s="58" t="inlineStr">
        <is>
          <t xml:space="preserve">Guantes de nitrilo resistentes a químicos; consultar hoja de datos de seguridad (SDS) del adhesivo DELO.</t>
        </is>
      </c>
      <c r="M12" s="58" t="inlineStr">
        <is>
          <t xml:space="preserve">Evaluación EHS química / SDS del adhesivo DELO</t>
        </is>
      </c>
      <c r="N12" s="57" t="inlineStr">
        <is>
          <t xml:space="preserve">EHS / Automation</t>
        </is>
      </c>
      <c r="O12" s="49" t="inlineStr">
        <is>
          <t xml:space="preserve">4</t>
        </is>
      </c>
      <c r="P12" s="61">
        <f t="shared" si="4"/>
        <v>0</v>
      </c>
      <c r="Q12" s="60">
        <f t="shared" si="5"/>
        <v>0</v>
      </c>
      <c r="R12" s="57"/>
      <c r="S12" s="57"/>
    </row>
    <row r="13" spans="1:19" x14ac:dyDescent="0.2">
      <c r="A13" s="55" t="inlineStr">
        <is>
          <t xml:space="preserve">No rutinario</t>
        </is>
      </c>
      <c r="B13" s="55" t="inlineStr">
        <is>
          <t xml:space="preserve">Mantenimiento - intervención con interlocks de puerta desactivados</t>
        </is>
      </c>
      <c r="C13" s="56" t="inlineStr">
        <is>
          <t xml:space="preserve">El personal de mantenimiento coloca el switch de llave en modo Mantenimiento y bloquea el switch general de energía antes de intervenir</t>
        </is>
      </c>
      <c r="D13" s="56" t="inlineStr">
        <is>
          <t xml:space="preserve">Mecanico</t>
        </is>
      </c>
      <c r="E13" s="49" t="inlineStr">
        <is>
          <t xml:space="preserve">Partes móviles</t>
        </is>
      </c>
      <c r="F13" s="49" t="inlineStr">
        <is>
          <t xml:space="preserve">Atrapamiento</t>
        </is>
      </c>
      <c r="G13" s="56" t="inlineStr">
        <is>
          <t xml:space="preserve">Control</t>
        </is>
      </c>
      <c r="H13" s="57" t="inlineStr">
        <is>
          <t xml:space="preserve">5</t>
        </is>
      </c>
      <c r="I13" s="57" t="inlineStr">
        <is>
          <t xml:space="preserve">2</t>
        </is>
      </c>
      <c r="J13" s="51">
        <f t="shared" si="3"/>
        <v>0</v>
      </c>
      <c r="K13" s="107" t="inlineStr">
        <is>
          <t xml:space="preserve">LOTO</t>
        </is>
      </c>
      <c r="L13" s="58" t="inlineStr">
        <is>
          <t xml:space="preserve">No se requiere EPP adicional; candado y tarjeta de bloqueo en el switch general.</t>
        </is>
      </c>
      <c r="M13" s="58" t="inlineStr">
        <is>
          <t xml:space="preserve">Procedimiento LOTO de la estación</t>
        </is>
      </c>
      <c r="N13" s="57" t="inlineStr">
        <is>
          <t xml:space="preserve">EHS / Automation</t>
        </is>
      </c>
      <c r="O13" s="49" t="inlineStr">
        <is>
          <t xml:space="preserve">3</t>
        </is>
      </c>
      <c r="P13" s="61">
        <f t="shared" si="4"/>
        <v>0</v>
      </c>
      <c r="Q13" s="60">
        <f t="shared" si="5"/>
        <v>0</v>
      </c>
      <c r="R13" s="57"/>
      <c r="S13" s="57"/>
    </row>
    <row r="14" spans="1:19" x14ac:dyDescent="0.2">
      <c r="A14" s="55" t="inlineStr">
        <is>
          <t xml:space="preserve">No rutinario</t>
        </is>
      </c>
      <c r="B14" s="55" t="inlineStr">
        <is>
          <t xml:space="preserve">Mantenimiento - energía neumática residual (cilindros de clampeo y dispensador)</t>
        </is>
      </c>
      <c r="C14" s="56" t="inlineStr">
        <is>
          <t xml:space="preserve">El personal de mantenimiento bloquea la válvula de despresurización/bloqueo LOTO neumática antes de intervenir cilindros o líneas de aire</t>
        </is>
      </c>
      <c r="D14" s="56" t="inlineStr">
        <is>
          <t xml:space="preserve">Mecanico</t>
        </is>
      </c>
      <c r="E14" s="49" t="inlineStr">
        <is>
          <t xml:space="preserve">Sistema de presión</t>
        </is>
      </c>
      <c r="F14" s="49" t="inlineStr">
        <is>
          <t xml:space="preserve">Laceraciones</t>
        </is>
      </c>
      <c r="G14" s="56" t="inlineStr">
        <is>
          <t xml:space="preserve">Control</t>
        </is>
      </c>
      <c r="H14" s="57" t="inlineStr">
        <is>
          <t xml:space="preserve">2</t>
        </is>
      </c>
      <c r="I14" s="57" t="inlineStr">
        <is>
          <t xml:space="preserve">1</t>
        </is>
      </c>
      <c r="J14" s="51">
        <f t="shared" si="3"/>
        <v>0</v>
      </c>
      <c r="K14" s="107" t="inlineStr">
        <is>
          <t xml:space="preserve">Válvulas de alivio</t>
        </is>
      </c>
      <c r="L14" s="58" t="inlineStr">
        <is>
          <t xml:space="preserve">No se requiere EPP adicional; la estación cuenta con válvula de bloqueo/sangrado LOTO neumática dedicada.</t>
        </is>
      </c>
      <c r="M14" s="58" t="inlineStr">
        <is>
          <t xml:space="preserve">Procedimiento LOTO de la estación</t>
        </is>
      </c>
      <c r="N14" s="57" t="inlineStr">
        <is>
          <t xml:space="preserve">EHS / Automation</t>
        </is>
      </c>
      <c r="O14" s="49" t="inlineStr">
        <is>
          <t xml:space="preserve">3</t>
        </is>
      </c>
      <c r="P14" s="61">
        <f t="shared" si="4"/>
        <v>0</v>
      </c>
      <c r="Q14" s="60">
        <f t="shared" si="5"/>
        <v>0</v>
      </c>
      <c r="R14" s="57"/>
      <c r="S14" s="57"/>
    </row>
    <row r="15" spans="1:19" x14ac:dyDescent="0.2">
      <c r="A15" s="55" t="inlineStr">
        <is>
          <t xml:space="preserve">No rutinario</t>
        </is>
      </c>
      <c r="B15" s="55" t="inlineStr">
        <is>
          <t xml:space="preserve">Mantenimiento correctivo / solución de problemas eléctricos</t>
        </is>
      </c>
      <c r="C15" s="56" t="inlineStr">
        <is>
          <t xml:space="preserve">El personal de mantenimiento abre el gabinete/panel eléctrico (PLC, drivers) de la estación para diagnóstico o reparación</t>
        </is>
      </c>
      <c r="D15" s="56" t="inlineStr">
        <is>
          <t xml:space="preserve">Eléctrico</t>
        </is>
      </c>
      <c r="E15" s="49" t="inlineStr">
        <is>
          <t xml:space="preserve">Conductores energizados</t>
        </is>
      </c>
      <c r="F15" s="49" t="inlineStr">
        <is>
          <t xml:space="preserve">Electrocución</t>
        </is>
      </c>
      <c r="G15" s="56" t="inlineStr">
        <is>
          <t xml:space="preserve">Control</t>
        </is>
      </c>
      <c r="H15" s="57" t="inlineStr">
        <is>
          <t xml:space="preserve">5</t>
        </is>
      </c>
      <c r="I15" s="57" t="inlineStr">
        <is>
          <t xml:space="preserve">2</t>
        </is>
      </c>
      <c r="J15" s="51">
        <f t="shared" si="3"/>
        <v>0</v>
      </c>
      <c r="K15" s="107" t="inlineStr">
        <is>
          <t xml:space="preserve">LOTO</t>
        </is>
      </c>
      <c r="L15" s="58" t="inlineStr">
        <is>
          <t xml:space="preserve">Guantes dieléctricos (clase según voltaje) y calzado aislante.</t>
        </is>
      </c>
      <c r="M15" s="58" t="inlineStr">
        <is>
          <t xml:space="preserve">Procedimiento LOTO de la estación</t>
        </is>
      </c>
      <c r="N15" s="57" t="inlineStr">
        <is>
          <t xml:space="preserve">EHS / Automation</t>
        </is>
      </c>
      <c r="O15" s="49" t="inlineStr">
        <is>
          <t xml:space="preserve">4</t>
        </is>
      </c>
      <c r="P15" s="61">
        <f t="shared" si="4"/>
        <v>0</v>
      </c>
      <c r="Q15" s="60">
        <f t="shared" si="5"/>
        <v>0</v>
      </c>
      <c r="R15" s="57"/>
      <c r="S15" s="57"/>
    </row>
    <row r="16" spans="1:19" x14ac:dyDescent="0.2">
      <c r="A16" s="55" t="inlineStr">
        <is>
          <t xml:space="preserve">Rutinario</t>
        </is>
      </c>
      <c r="B16" s="55" t="inlineStr">
        <is>
          <t xml:space="preserve">Manejo de materiales - carga manual repetitiva de piezas</t>
        </is>
      </c>
      <c r="C16" s="56" t="inlineStr">
        <is>
          <t xml:space="preserve">El operador carga piezas repetidamente en la estación durante el turno</t>
        </is>
      </c>
      <c r="D16" s="56" t="inlineStr">
        <is>
          <t xml:space="preserve">Ergonomía</t>
        </is>
      </c>
      <c r="E16" s="49" t="inlineStr">
        <is>
          <t xml:space="preserve">Movimientos repetitivos</t>
        </is>
      </c>
      <c r="F16" s="49" t="inlineStr">
        <is>
          <t xml:space="preserve">Fatiga muscular</t>
        </is>
      </c>
      <c r="G16" s="56" t="inlineStr">
        <is>
          <t xml:space="preserve">Influencia</t>
        </is>
      </c>
      <c r="H16" s="57" t="inlineStr">
        <is>
          <t xml:space="preserve">2</t>
        </is>
      </c>
      <c r="I16" s="57" t="inlineStr">
        <is>
          <t xml:space="preserve">3</t>
        </is>
      </c>
      <c r="J16" s="51">
        <f t="shared" si="3"/>
        <v>0</v>
      </c>
      <c r="K16" s="107" t="inlineStr">
        <is>
          <t xml:space="preserve">ergonomía</t>
        </is>
      </c>
      <c r="L16" s="58" t="inlineStr">
        <is>
          <t xml:space="preserve">No se requiere EPP adicional.</t>
        </is>
      </c>
      <c r="M16" s="58" t="inlineStr">
        <is>
          <t xml:space="preserve">Evaluación ergonómica de la estación</t>
        </is>
      </c>
      <c r="N16" s="57" t="inlineStr">
        <is>
          <t xml:space="preserve">EHS / Automation</t>
        </is>
      </c>
      <c r="O16" s="49" t="inlineStr">
        <is>
          <t xml:space="preserve">4</t>
        </is>
      </c>
      <c r="P16" s="61">
        <f t="shared" si="4"/>
        <v>0</v>
      </c>
      <c r="Q16" s="60">
        <f t="shared" si="5"/>
        <v>0</v>
      </c>
      <c r="R16" s="57"/>
      <c r="S16" s="57"/>
    </row>
    <row r="17" spans="1:19" x14ac:dyDescent="0.2">
      <c r="A17" s="55"/>
      <c r="B17" s="55"/>
      <c r="C17" s="56"/>
      <c r="D17" s="56"/>
      <c r="E17" s="49"/>
      <c r="F17" s="49"/>
      <c r="G17" s="56"/>
      <c r="H17" s="57"/>
      <c r="I17" s="57"/>
      <c r="J17" s="51">
        <f t="shared" si="3"/>
        <v>0</v>
      </c>
      <c r="K17" s="107"/>
      <c r="L17" s="58"/>
      <c r="M17" s="58"/>
      <c r="N17" s="57"/>
      <c r="O17" s="49"/>
      <c r="P17" s="61">
        <f t="shared" si="4"/>
        <v>0</v>
      </c>
      <c r="Q17" s="60">
        <f t="shared" si="5"/>
        <v>0</v>
      </c>
      <c r="R17" s="57"/>
      <c r="S17" s="57"/>
    </row>
    <row r="18" spans="1:19" x14ac:dyDescent="0.2">
      <c r="A18" s="55"/>
      <c r="B18" s="55"/>
      <c r="C18" s="56"/>
      <c r="D18" s="56"/>
      <c r="E18" s="49"/>
      <c r="F18" s="49"/>
      <c r="G18" s="56"/>
      <c r="H18" s="57"/>
      <c r="I18" s="57"/>
      <c r="J18" s="51">
        <f t="shared" si="3"/>
        <v>0</v>
      </c>
      <c r="K18" s="107"/>
      <c r="L18" s="58"/>
      <c r="M18" s="58"/>
      <c r="N18" s="57"/>
      <c r="O18" s="49"/>
      <c r="P18" s="61">
        <f t="shared" si="4"/>
        <v>0</v>
      </c>
      <c r="Q18" s="60">
        <f t="shared" si="5"/>
        <v>0</v>
      </c>
      <c r="R18" s="57"/>
      <c r="S18" s="57"/>
    </row>
    <row r="19" spans="1:19" x14ac:dyDescent="0.2">
      <c r="A19" s="55"/>
      <c r="B19" s="55"/>
      <c r="C19" s="56"/>
      <c r="D19" s="56"/>
      <c r="E19" s="49"/>
      <c r="F19" s="49"/>
      <c r="G19" s="56"/>
      <c r="H19" s="57"/>
      <c r="I19" s="57"/>
      <c r="J19" s="51">
        <f t="shared" si="3"/>
        <v>0</v>
      </c>
      <c r="K19" s="107"/>
      <c r="L19" s="58"/>
      <c r="M19" s="58"/>
      <c r="N19" s="57"/>
      <c r="O19" s="49"/>
      <c r="P19" s="61">
        <f t="shared" si="4"/>
        <v>0</v>
      </c>
      <c r="Q19" s="60">
        <f t="shared" si="5"/>
        <v>0</v>
      </c>
      <c r="R19" s="57"/>
      <c r="S19" s="57"/>
    </row>
    <row r="20" spans="1:19" x14ac:dyDescent="0.2">
      <c r="A20" s="55"/>
      <c r="B20" s="55"/>
      <c r="C20" s="56"/>
      <c r="D20" s="56"/>
      <c r="E20" s="49"/>
      <c r="F20" s="49"/>
      <c r="G20" s="56"/>
      <c r="H20" s="57"/>
      <c r="I20" s="57"/>
      <c r="J20" s="51">
        <f t="shared" si="3"/>
        <v>0</v>
      </c>
      <c r="K20" s="107"/>
      <c r="L20" s="58"/>
      <c r="M20" s="58"/>
      <c r="N20" s="57"/>
      <c r="O20" s="49"/>
      <c r="P20" s="61">
        <f t="shared" si="4"/>
        <v>0</v>
      </c>
      <c r="Q20" s="60">
        <f t="shared" si="5"/>
        <v>0</v>
      </c>
      <c r="R20" s="57"/>
      <c r="S20" s="57"/>
    </row>
    <row r="21" spans="1:19" x14ac:dyDescent="0.2">
      <c r="A21" s="55"/>
      <c r="B21" s="55"/>
      <c r="C21" s="56"/>
      <c r="D21" s="56"/>
      <c r="E21" s="49"/>
      <c r="F21" s="49"/>
      <c r="G21" s="56"/>
      <c r="H21" s="57"/>
      <c r="I21" s="57"/>
      <c r="J21" s="51">
        <f t="shared" si="3"/>
        <v>0</v>
      </c>
      <c r="K21" s="107"/>
      <c r="L21" s="58"/>
      <c r="M21" s="58"/>
      <c r="N21" s="57"/>
      <c r="O21" s="49"/>
      <c r="P21" s="61">
        <f t="shared" si="4"/>
        <v>0</v>
      </c>
      <c r="Q21" s="60">
        <f t="shared" si="5"/>
        <v>0</v>
      </c>
      <c r="R21" s="57"/>
      <c r="S21" s="57"/>
    </row>
    <row r="22" spans="1:19" x14ac:dyDescent="0.2">
      <c r="A22" s="55"/>
      <c r="B22" s="55"/>
      <c r="C22" s="56"/>
      <c r="D22" s="56"/>
      <c r="E22" s="49"/>
      <c r="F22" s="49"/>
      <c r="G22" s="56"/>
      <c r="H22" s="57"/>
      <c r="I22" s="57"/>
      <c r="J22" s="51">
        <f t="shared" si="3"/>
        <v>0</v>
      </c>
      <c r="K22" s="107"/>
      <c r="L22" s="58"/>
      <c r="M22" s="58"/>
      <c r="N22" s="57"/>
      <c r="O22" s="49"/>
      <c r="P22" s="61">
        <f t="shared" si="4"/>
        <v>0</v>
      </c>
      <c r="Q22" s="60">
        <f t="shared" si="5"/>
        <v>0</v>
      </c>
      <c r="R22" s="57"/>
      <c r="S22" s="57"/>
    </row>
    <row r="23" spans="1:19" x14ac:dyDescent="0.2">
      <c r="A23" s="55"/>
      <c r="B23" s="55"/>
      <c r="C23" s="56"/>
      <c r="D23" s="56"/>
      <c r="E23" s="49"/>
      <c r="F23" s="49"/>
      <c r="G23" s="56"/>
      <c r="H23" s="57"/>
      <c r="I23" s="57"/>
      <c r="J23" s="51">
        <f t="shared" si="3"/>
        <v>0</v>
      </c>
      <c r="K23" s="107"/>
      <c r="L23" s="58"/>
      <c r="M23" s="58"/>
      <c r="N23" s="57"/>
      <c r="O23" s="49"/>
      <c r="P23" s="61">
        <f t="shared" si="4"/>
        <v>0</v>
      </c>
      <c r="Q23" s="60">
        <f t="shared" si="5"/>
        <v>0</v>
      </c>
      <c r="R23" s="57"/>
      <c r="S23" s="57"/>
    </row>
    <row r="24" spans="1:19" x14ac:dyDescent="0.2">
      <c r="A24" s="55"/>
      <c r="B24" s="55"/>
      <c r="C24" s="56"/>
      <c r="D24" s="56"/>
      <c r="E24" s="49"/>
      <c r="F24" s="49"/>
      <c r="G24" s="56"/>
      <c r="H24" s="57"/>
      <c r="I24" s="57"/>
      <c r="J24" s="51">
        <f t="shared" si="3"/>
        <v>0</v>
      </c>
      <c r="K24" s="107"/>
      <c r="L24" s="58"/>
      <c r="M24" s="58"/>
      <c r="N24" s="57"/>
      <c r="O24" s="49"/>
      <c r="P24" s="61">
        <f t="shared" si="4"/>
        <v>0</v>
      </c>
      <c r="Q24" s="60">
        <f t="shared" si="5"/>
        <v>0</v>
      </c>
      <c r="R24" s="57"/>
      <c r="S24" s="57"/>
    </row>
    <row r="25" spans="1:19" x14ac:dyDescent="0.2">
      <c r="A25" s="55"/>
      <c r="B25" s="55"/>
      <c r="C25" s="56"/>
      <c r="D25" s="56"/>
      <c r="E25" s="49"/>
      <c r="F25" s="49"/>
      <c r="G25" s="56"/>
      <c r="H25" s="57"/>
      <c r="I25" s="57"/>
      <c r="J25" s="51">
        <f t="shared" si="3"/>
        <v>0</v>
      </c>
      <c r="K25" s="107"/>
      <c r="L25" s="58"/>
      <c r="M25" s="58"/>
      <c r="N25" s="57"/>
      <c r="O25" s="49"/>
      <c r="P25" s="61">
        <f t="shared" si="4"/>
        <v>0</v>
      </c>
      <c r="Q25" s="60">
        <f t="shared" si="5"/>
        <v>0</v>
      </c>
      <c r="R25" s="57"/>
      <c r="S25" s="57"/>
    </row>
    <row r="26" spans="1:19" x14ac:dyDescent="0.2">
      <c r="A26" s="55"/>
      <c r="B26" s="55"/>
      <c r="C26" s="56"/>
      <c r="D26" s="56"/>
      <c r="E26" s="49"/>
      <c r="F26" s="49"/>
      <c r="G26" s="56"/>
      <c r="H26" s="57"/>
      <c r="I26" s="57"/>
      <c r="J26" s="51">
        <f t="shared" si="3"/>
        <v>0</v>
      </c>
      <c r="K26" s="107"/>
      <c r="L26" s="58"/>
      <c r="M26" s="58"/>
      <c r="N26" s="57"/>
      <c r="O26" s="49"/>
      <c r="P26" s="61">
        <f t="shared" si="4"/>
        <v>0</v>
      </c>
      <c r="Q26" s="60">
        <f t="shared" si="5"/>
        <v>0</v>
      </c>
      <c r="R26" s="57"/>
      <c r="S26" s="57"/>
    </row>
    <row r="27" spans="1:19" x14ac:dyDescent="0.2">
      <c r="A27" s="55"/>
      <c r="B27" s="55"/>
      <c r="C27" s="56"/>
      <c r="D27" s="56"/>
      <c r="E27" s="49"/>
      <c r="F27" s="49"/>
      <c r="G27" s="56"/>
      <c r="H27" s="57"/>
      <c r="I27" s="57"/>
      <c r="J27" s="51">
        <f t="shared" si="3"/>
        <v>0</v>
      </c>
      <c r="K27" s="107"/>
      <c r="L27" s="58"/>
      <c r="M27" s="58"/>
      <c r="N27" s="57"/>
      <c r="O27" s="49"/>
      <c r="P27" s="61">
        <f t="shared" si="4"/>
        <v>0</v>
      </c>
      <c r="Q27" s="60">
        <f t="shared" si="5"/>
        <v>0</v>
      </c>
      <c r="R27" s="57"/>
      <c r="S27" s="57"/>
    </row>
    <row r="28" spans="1:19" ht="39.950000000000003" customHeight="1" x14ac:dyDescent="0.2">
      <c r="K28" t="s">
        <v>32</v>
      </c>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27 P8:P27">
    <cfRule type="cellIs" dxfId="19" priority="2" operator="equal">
      <formula>0</formula>
    </cfRule>
  </conditionalFormatting>
  <conditionalFormatting sqref="J8:J27">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27">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27"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