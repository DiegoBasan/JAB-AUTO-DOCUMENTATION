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<sst xmlns="http://schemas.openxmlformats.org/spreadsheetml/2006/main" count="2563" uniqueCount="1242">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</sst>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MOC (pendiente de numero): Kasalis PIXID 500 - Scorpion y ELK, Dispensing and Alignment (2 unidades fisicamente identicas)</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24/09/2026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rotación de la torna-mesa (4 estaciones)</t>
        </is>
      </c>
      <c r="C8" s="56" t="inlineStr">
        <is>
          <t xml:space="preserve">La torna-mesa gira mediante un motor de gran tamaño para posicionar cada estación frente a los gantries de dispensado/PnP</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2</t>
        </is>
      </c>
      <c r="J8" s="51">
        <f t="shared" ref="J8" si="0">H8*I8</f>
        <v>0</v>
      </c>
      <c r="K8" s="107" t="inlineStr">
        <is>
          <t xml:space="preserve">sensores</t>
        </is>
      </c>
      <c r="L8" s="58" t="inlineStr">
        <is>
          <t xml:space="preserve">No se requiere EPP adicional; el control es por cortinas de seguridad e interlocks de puerta en el perímetro.</t>
        </is>
      </c>
      <c r="M8" s="58" t="inlineStr">
        <is>
          <t xml:space="preserve">SOP Operación Kasalis PIXID 500</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Operación normal - movimiento del mini-gantry dispensador (3 ejes)</t>
        </is>
      </c>
      <c r="C9" s="56" t="inlineStr">
        <is>
          <t xml:space="preserve">El gantry del dispensador se mueve para aplicar el químico (DELO) sobre la pieza en la estación correspondiente</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3</t>
        </is>
      </c>
      <c r="I9" s="57" t="inlineStr">
        <is>
          <t xml:space="preserve">2</t>
        </is>
      </c>
      <c r="J9" s="51">
        <f t="shared" ref="J9:J27" si="3">H9*I9</f>
        <v>0</v>
      </c>
      <c r="K9" s="107" t="inlineStr">
        <is>
          <t xml:space="preserve">sensores</t>
        </is>
      </c>
      <c r="L9" s="58" t="inlineStr">
        <is>
          <t xml:space="preserve">No se requiere EPP adicional; el control es por cortinas de seguridad del perímetro.</t>
        </is>
      </c>
      <c r="M9" s="58" t="inlineStr">
        <is>
          <t xml:space="preserve">SOP Operación Kasalis PIXID 500</t>
        </is>
      </c>
      <c r="N9" s="57" t="inlineStr">
        <is>
          <t xml:space="preserve">EHS / Automation</t>
        </is>
      </c>
      <c r="O9" s="49" t="inlineStr">
        <is>
          <t xml:space="preserve">3</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Operación normal - movimiento del mini-gantry PnP (3 ejes, gripper)</t>
        </is>
      </c>
      <c r="C10" s="56" t="inlineStr">
        <is>
          <t xml:space="preserve">El gantry del PnP mueve el gripper para tomar/colocar la pieza entre estaciones</t>
        </is>
      </c>
      <c r="D10" s="56" t="inlineStr">
        <is>
          <t xml:space="preserve">Mecanico</t>
        </is>
      </c>
      <c r="E10" s="49" t="inlineStr">
        <is>
          <t xml:space="preserve">Partes móviles</t>
        </is>
      </c>
      <c r="F10" s="49" t="inlineStr">
        <is>
          <t xml:space="preserve">Fractura</t>
        </is>
      </c>
      <c r="G10" s="56" t="inlineStr">
        <is>
          <t xml:space="preserve">Control</t>
        </is>
      </c>
      <c r="H10" s="57" t="inlineStr">
        <is>
          <t xml:space="preserve">3</t>
        </is>
      </c>
      <c r="I10" s="57" t="inlineStr">
        <is>
          <t xml:space="preserve">2</t>
        </is>
      </c>
      <c r="J10" s="51">
        <f t="shared" si="3"/>
        <v>0</v>
      </c>
      <c r="K10" s="107" t="inlineStr">
        <is>
          <t xml:space="preserve">sensores</t>
        </is>
      </c>
      <c r="L10" s="58" t="inlineStr">
        <is>
          <t xml:space="preserve">No se requiere EPP adicional; mismo set de cortinas de seguridad que protege torna-mesa y gantry dispensador.</t>
        </is>
      </c>
      <c r="M10" s="58" t="inlineStr">
        <is>
          <t xml:space="preserve">SOP Operación Kasalis PIXID 500</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Manejo de materiales - carga de pieza en la estación con contacto directo del operador</t>
        </is>
      </c>
      <c r="C11" s="56" t="inlineStr">
        <is>
          <t xml:space="preserve">El operador coloca la pieza en la estación de carga; al hacerlo se activa el pistón de clampeo que asegura la pieza. Es el punto de mayor riesgo de la máquina por el contacto directo del operador con el mecanismo.</t>
        </is>
      </c>
      <c r="D11" s="56" t="inlineStr">
        <is>
          <t xml:space="preserve">Mecanico</t>
        </is>
      </c>
      <c r="E11" s="49" t="inlineStr">
        <is>
          <t xml:space="preserve">Partes móviles</t>
        </is>
      </c>
      <c r="F11" s="49" t="inlineStr">
        <is>
          <t xml:space="preserve">Amputación</t>
        </is>
      </c>
      <c r="G11" s="56" t="inlineStr">
        <is>
          <t xml:space="preserve">Control</t>
        </is>
      </c>
      <c r="H11" s="57" t="inlineStr">
        <is>
          <t xml:space="preserve">4</t>
        </is>
      </c>
      <c r="I11" s="57" t="inlineStr">
        <is>
          <t xml:space="preserve">2</t>
        </is>
      </c>
      <c r="J11" s="51">
        <f t="shared" si="3"/>
        <v>0</v>
      </c>
      <c r="K11" s="107" t="inlineStr">
        <is>
          <t xml:space="preserve">sensores</t>
        </is>
      </c>
      <c r="L11" s="58" t="inlineStr">
        <is>
          <t xml:space="preserve">No se requiere EPP adicional; el control real es un dispositivo de control a dos manos en el punto de activación del clampeo.</t>
        </is>
      </c>
      <c r="M11" s="58" t="inlineStr">
        <is>
          <t xml:space="preserve">SOP Operación Kasalis PIXID 500</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Operación normal - dispensación de químico (DELO) y limpieza de boquilla</t>
        </is>
      </c>
      <c r="C12" s="56" t="inlineStr">
        <is>
          <t xml:space="preserve">El dispensador aplica el químico sobre la pieza; el operador puede tener contacto con residuos durante limpieza de boquilla o cambio de cartucho</t>
        </is>
      </c>
      <c r="D12" s="56" t="inlineStr">
        <is>
          <t xml:space="preserve">Químicos</t>
        </is>
      </c>
      <c r="E12" s="49" t="inlineStr">
        <is>
          <t xml:space="preserve">Irritantes</t>
        </is>
      </c>
      <c r="F12" s="49" t="inlineStr">
        <is>
          <t xml:space="preserve">Dermatitis</t>
        </is>
      </c>
      <c r="G12" s="56" t="inlineStr">
        <is>
          <t xml:space="preserve">Influencia</t>
        </is>
      </c>
      <c r="H12" s="57" t="inlineStr">
        <is>
          <t xml:space="preserve">2</t>
        </is>
      </c>
      <c r="I12" s="57" t="inlineStr">
        <is>
          <t xml:space="preserve">2</t>
        </is>
      </c>
      <c r="J12" s="51">
        <f t="shared" si="3"/>
        <v>0</v>
      </c>
      <c r="K12" s="107" t="inlineStr">
        <is>
          <t xml:space="preserve">Guantes</t>
        </is>
      </c>
      <c r="L12" s="58" t="inlineStr">
        <is>
          <t xml:space="preserve">Guantes de nitrilo resistentes a químicos; consultar hoja de datos de seguridad (SDS) del adhesivo DELO.</t>
        </is>
      </c>
      <c r="M12" s="58" t="inlineStr">
        <is>
          <t xml:space="preserve">Evaluación EHS química / SDS del adhesivo DELO</t>
        </is>
      </c>
      <c r="N12" s="57" t="inlineStr">
        <is>
          <t xml:space="preserve">EHS / Automation</t>
        </is>
      </c>
      <c r="O12" s="49" t="inlineStr">
        <is>
          <t xml:space="preserve">4</t>
        </is>
      </c>
      <c r="P12" s="61">
        <f t="shared" si="4"/>
        <v>0</v>
      </c>
      <c r="Q12" s="60">
        <f t="shared" si="5"/>
        <v>0</v>
      </c>
      <c r="R12" s="57"/>
      <c r="S12" s="57"/>
    </row>
    <row r="13" spans="1:19" x14ac:dyDescent="0.2">
      <c r="A13" s="55" t="inlineStr">
        <is>
          <t xml:space="preserve">No rutinario</t>
        </is>
      </c>
      <c r="B13" s="55" t="inlineStr">
        <is>
          <t xml:space="preserve">Mantenimiento - intervención con interlocks de puerta desactivados</t>
        </is>
      </c>
      <c r="C13" s="56" t="inlineStr">
        <is>
          <t xml:space="preserve">El personal de mantenimiento coloca el switch de llave en modo Mantenimiento y bloquea el switch general de energía antes de intervenir</t>
        </is>
      </c>
      <c r="D13" s="56" t="inlineStr">
        <is>
          <t xml:space="preserve">Mecanico</t>
        </is>
      </c>
      <c r="E13" s="49" t="inlineStr">
        <is>
          <t xml:space="preserve">Partes móviles</t>
        </is>
      </c>
      <c r="F13" s="49" t="inlineStr">
        <is>
          <t xml:space="preserve">Atrapamiento</t>
        </is>
      </c>
      <c r="G13" s="56" t="inlineStr">
        <is>
          <t xml:space="preserve">Control</t>
        </is>
      </c>
      <c r="H13" s="57" t="inlineStr">
        <is>
          <t xml:space="preserve">5</t>
        </is>
      </c>
      <c r="I13" s="57" t="inlineStr">
        <is>
          <t xml:space="preserve">2</t>
        </is>
      </c>
      <c r="J13" s="51">
        <f t="shared" si="3"/>
        <v>0</v>
      </c>
      <c r="K13" s="107" t="inlineStr">
        <is>
          <t xml:space="preserve">LOTO</t>
        </is>
      </c>
      <c r="L13" s="58" t="inlineStr">
        <is>
          <t xml:space="preserve">No se requiere EPP adicional; candado y tarjeta de bloqueo en el switch general.</t>
        </is>
      </c>
      <c r="M13" s="58" t="inlineStr">
        <is>
          <t xml:space="preserve">Procedimiento LOTO de la estación</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No rutinario</t>
        </is>
      </c>
      <c r="B14" s="55" t="inlineStr">
        <is>
          <t xml:space="preserve">Mantenimiento - energía neumática residual (cilindros de clampeo y dispensador)</t>
        </is>
      </c>
      <c r="C14" s="56" t="inlineStr">
        <is>
          <t xml:space="preserve">El personal de mantenimiento bloquea la válvula de despresurización/bloqueo LOTO neumática antes de intervenir cilindros o líneas de aire</t>
        </is>
      </c>
      <c r="D14" s="56" t="inlineStr">
        <is>
          <t xml:space="preserve">Mecanico</t>
        </is>
      </c>
      <c r="E14" s="49" t="inlineStr">
        <is>
          <t xml:space="preserve">Sistema de presión</t>
        </is>
      </c>
      <c r="F14" s="49" t="inlineStr">
        <is>
          <t xml:space="preserve">Laceraciones</t>
        </is>
      </c>
      <c r="G14" s="56" t="inlineStr">
        <is>
          <t xml:space="preserve">Control</t>
        </is>
      </c>
      <c r="H14" s="57" t="inlineStr">
        <is>
          <t xml:space="preserve">2</t>
        </is>
      </c>
      <c r="I14" s="57" t="inlineStr">
        <is>
          <t xml:space="preserve">1</t>
        </is>
      </c>
      <c r="J14" s="51">
        <f t="shared" si="3"/>
        <v>0</v>
      </c>
      <c r="K14" s="107" t="inlineStr">
        <is>
          <t xml:space="preserve">Válvulas de alivio</t>
        </is>
      </c>
      <c r="L14" s="58" t="inlineStr">
        <is>
          <t xml:space="preserve">No se requiere EPP adicional; la estación cuenta con válvula de bloqueo/sangrado LOTO neumática dedicada.</t>
        </is>
      </c>
      <c r="M14" s="58" t="inlineStr">
        <is>
          <t xml:space="preserve">Procedimiento LOTO de la estación</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No rutinario</t>
        </is>
      </c>
      <c r="B15" s="55" t="inlineStr">
        <is>
          <t xml:space="preserve">Mantenimiento correctivo / solución de problemas eléctricos</t>
        </is>
      </c>
      <c r="C15" s="56" t="inlineStr">
        <is>
          <t xml:space="preserve">El personal de mantenimiento abre el gabinete/panel eléctrico (PLC, drivers) de la estación para diagnóstico o reparación</t>
        </is>
      </c>
      <c r="D15" s="56" t="inlineStr">
        <is>
          <t xml:space="preserve">Eléctrico</t>
        </is>
      </c>
      <c r="E15" s="49" t="inlineStr">
        <is>
          <t xml:space="preserve">Conductores energizados</t>
        </is>
      </c>
      <c r="F15" s="49" t="inlineStr">
        <is>
          <t xml:space="preserve">Electrocución</t>
        </is>
      </c>
      <c r="G15" s="56" t="inlineStr">
        <is>
          <t xml:space="preserve">Control</t>
        </is>
      </c>
      <c r="H15" s="57" t="inlineStr">
        <is>
          <t xml:space="preserve">5</t>
        </is>
      </c>
      <c r="I15" s="57" t="inlineStr">
        <is>
          <t xml:space="preserve">2</t>
        </is>
      </c>
      <c r="J15" s="51">
        <f t="shared" si="3"/>
        <v>0</v>
      </c>
      <c r="K15" s="107" t="inlineStr">
        <is>
          <t xml:space="preserve">LOTO</t>
        </is>
      </c>
      <c r="L15" s="58" t="inlineStr">
        <is>
          <t xml:space="preserve">Guantes dieléctricos (clase según voltaje) y calzado aislante.</t>
        </is>
      </c>
      <c r="M15" s="58" t="inlineStr">
        <is>
          <t xml:space="preserve">Procedimiento LOTO de la estación</t>
        </is>
      </c>
      <c r="N15" s="57" t="inlineStr">
        <is>
          <t xml:space="preserve">EHS / Automation</t>
        </is>
      </c>
      <c r="O15" s="49" t="inlineStr">
        <is>
          <t xml:space="preserve">4</t>
        </is>
      </c>
      <c r="P15" s="61">
        <f t="shared" si="4"/>
        <v>0</v>
      </c>
      <c r="Q15" s="60">
        <f t="shared" si="5"/>
        <v>0</v>
      </c>
      <c r="R15" s="57"/>
      <c r="S15" s="57"/>
    </row>
    <row r="16" spans="1:19" x14ac:dyDescent="0.2">
      <c r="A16" s="55" t="inlineStr">
        <is>
          <t xml:space="preserve">Rutinario</t>
        </is>
      </c>
      <c r="B16" s="55" t="inlineStr">
        <is>
          <t xml:space="preserve">Manejo de materiales - carga manual repetitiva de piezas</t>
        </is>
      </c>
      <c r="C16" s="56" t="inlineStr">
        <is>
          <t xml:space="preserve">El operador carga piezas repetidamente en la estación durante el turno</t>
        </is>
      </c>
      <c r="D16" s="56" t="inlineStr">
        <is>
          <t xml:space="preserve">Ergonomía</t>
        </is>
      </c>
      <c r="E16" s="49" t="inlineStr">
        <is>
          <t xml:space="preserve">Movimientos repetitivos</t>
        </is>
      </c>
      <c r="F16" s="49" t="inlineStr">
        <is>
          <t xml:space="preserve">Fatiga muscular</t>
        </is>
      </c>
      <c r="G16" s="56" t="inlineStr">
        <is>
          <t xml:space="preserve">Influencia</t>
        </is>
      </c>
      <c r="H16" s="57" t="inlineStr">
        <is>
          <t xml:space="preserve">2</t>
        </is>
      </c>
      <c r="I16" s="57" t="inlineStr">
        <is>
          <t xml:space="preserve">3</t>
        </is>
      </c>
      <c r="J16" s="51">
        <f t="shared" si="3"/>
        <v>0</v>
      </c>
      <c r="K16" s="107" t="inlineStr">
        <is>
          <t xml:space="preserve">ergonomía</t>
        </is>
      </c>
      <c r="L16" s="58" t="inlineStr">
        <is>
          <t xml:space="preserve">No se requiere EPP adicional.</t>
        </is>
      </c>
      <c r="M16" s="58" t="inlineStr">
        <is>
          <t xml:space="preserve">Evaluación ergonómica de la estación</t>
        </is>
      </c>
      <c r="N16" s="57" t="inlineStr">
        <is>
          <t xml:space="preserve">EHS / Automation</t>
        </is>
      </c>
      <c r="O16" s="49" t="inlineStr">
        <is>
          <t xml:space="preserve">4</t>
        </is>
      </c>
      <c r="P16" s="61">
        <f t="shared" si="4"/>
        <v>0</v>
      </c>
      <c r="Q16" s="60">
        <f t="shared" si="5"/>
        <v>0</v>
      </c>
      <c r="R16" s="57"/>
      <c r="S16" s="57"/>
    </row>
    <row r="17" spans="1:19" x14ac:dyDescent="0.2">
      <c r="A17" s="55"/>
      <c r="B17" s="55"/>
      <c r="C17" s="56"/>
      <c r="D17" s="56"/>
      <c r="E17" s="49"/>
      <c r="F17" s="49"/>
      <c r="G17" s="56"/>
      <c r="H17" s="57"/>
      <c r="I17" s="57"/>
      <c r="J17" s="51">
        <f t="shared" si="3"/>
        <v>0</v>
      </c>
      <c r="K17" s="107"/>
      <c r="L17" s="58"/>
      <c r="M17" s="58"/>
      <c r="N17" s="57"/>
      <c r="O17" s="49"/>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